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\\NAS104\Documents\プロジェクト\Wize\テーブル仕様書\開発\"/>
    </mc:Choice>
  </mc:AlternateContent>
  <xr:revisionPtr revIDLastSave="0" documentId="13_ncr:1_{DF4527B2-7CC9-4806-9562-9F336208C682}" xr6:coauthVersionLast="47" xr6:coauthVersionMax="47" xr10:uidLastSave="{00000000-0000-0000-0000-000000000000}"/>
  <bookViews>
    <workbookView xWindow="1965" yWindow="645" windowWidth="26430" windowHeight="16365" tabRatio="881" firstSheet="8" activeTab="10" xr2:uid="{00000000-000D-0000-FFFF-FFFF00000000}"/>
  </bookViews>
  <sheets>
    <sheet name="#環境設定" sheetId="1" state="hidden" r:id="rId1"/>
    <sheet name="#CT_Oracle" sheetId="209" state="hidden" r:id="rId2"/>
    <sheet name="#CT_PostgreSQL" sheetId="211" state="hidden" r:id="rId3"/>
    <sheet name="#CT_SQLServer" sheetId="230" state="hidden" r:id="rId4"/>
    <sheet name="#CT_DrSum" sheetId="240" state="hidden" r:id="rId5"/>
    <sheet name="#Table" sheetId="227" state="hidden" r:id="rId6"/>
    <sheet name="#トリガー設定" sheetId="229" state="hidden" r:id="rId7"/>
    <sheet name="#DIC" sheetId="237" state="hidden" r:id="rId8"/>
    <sheet name="表紙" sheetId="238" r:id="rId9"/>
    <sheet name="改訂履歴" sheetId="239" r:id="rId10"/>
    <sheet name="テーブル一覧" sheetId="2" r:id="rId11"/>
  </sheets>
  <functionGroups builtInGroupCount="19"/>
  <definedNames>
    <definedName name="_Order1" hidden="1">255</definedName>
    <definedName name="_Order2" hidden="1">255</definedName>
    <definedName name="CREATE文のスキーマ名使用">'#環境設定'!$B$9</definedName>
    <definedName name="CREATE文の引用符使用">'#環境設定'!$B$10</definedName>
    <definedName name="CT_コメント出力">'#環境設定'!#REF!</definedName>
    <definedName name="CT_テーブルバックアップ">'#環境設定'!#REF!</definedName>
    <definedName name="CT_テーブルリストア">'#環境設定'!#REF!</definedName>
    <definedName name="DB種別0">'#環境設定'!$E$3</definedName>
    <definedName name="DB種別1">'#環境設定'!$E$4</definedName>
    <definedName name="DB種別2">'#環境設定'!$E$5</definedName>
    <definedName name="DB種別3">'#環境設定'!$E$6</definedName>
    <definedName name="DB種別表">'#環境設定'!$D$3:$E$6</definedName>
    <definedName name="ODBCデータソース名">'#環境設定'!$A$4</definedName>
    <definedName name="_xlnm.Print_Area" localSheetId="5">'#Table'!$A$2:$N$52</definedName>
    <definedName name="_xlnm.Print_Area" localSheetId="6">'#トリガー設定'!$A$1:$L$49</definedName>
    <definedName name="_xlnm.Print_Area" localSheetId="10">テーブル一覧!$A$2:$E$3</definedName>
    <definedName name="_xlnm.Print_Area" localSheetId="8">表紙!#REF!</definedName>
    <definedName name="_xlnm.Print_Titles" localSheetId="10">テーブル一覧!#REF!</definedName>
    <definedName name="_xlnm.Print_Titles" localSheetId="9">改訂履歴!#REF!</definedName>
    <definedName name="SQL文出力フォルダ">'#環境設定'!$A$5</definedName>
    <definedName name="シノニム">'#Table'!$I$4</definedName>
    <definedName name="スキーマ名">'#環境設定'!$B$6</definedName>
    <definedName name="データベース選択">'#環境設定'!$A$3</definedName>
    <definedName name="データ型一覧_DRSUM">'#環境設定'!$A$152:$E$169</definedName>
    <definedName name="データ型一覧_ORACLE">'#環境設定'!$A$29:$E$47</definedName>
    <definedName name="データ型一覧_PostgreSQL">'#環境設定'!$A$60:$E$82</definedName>
    <definedName name="データ型一覧_SQLServer">'#環境設定'!$A$122:$E$148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引用符一覧">'#環境設定'!$A$20:$C$25</definedName>
    <definedName name="開発中">'#環境設定'!$F$1</definedName>
    <definedName name="環境設定">'#環境設定'!$A$3:$B$12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39" l="1"/>
  <c r="A3" i="239"/>
  <c r="A4" i="239"/>
  <c r="A5" i="239"/>
  <c r="A6" i="239"/>
  <c r="A7" i="239"/>
  <c r="A8" i="239"/>
  <c r="A9" i="239"/>
  <c r="A10" i="239"/>
  <c r="A11" i="239"/>
  <c r="A12" i="239"/>
  <c r="A13" i="239"/>
  <c r="A14" i="239"/>
  <c r="A15" i="239"/>
  <c r="A16" i="239"/>
  <c r="A17" i="239"/>
  <c r="A18" i="239"/>
  <c r="A19" i="239"/>
  <c r="A20" i="239"/>
  <c r="A21" i="239"/>
  <c r="B3" i="2"/>
  <c r="B45" i="227" l="1"/>
  <c r="B46" i="227"/>
  <c r="B44" i="227"/>
  <c r="B51" i="227"/>
  <c r="B49" i="227"/>
  <c r="B35" i="227"/>
  <c r="B36" i="227"/>
  <c r="B37" i="227"/>
  <c r="B41" i="227"/>
  <c r="B42" i="227"/>
  <c r="B28" i="229" l="1"/>
  <c r="B27" i="229"/>
  <c r="B26" i="229"/>
  <c r="B25" i="229"/>
  <c r="B24" i="229"/>
  <c r="B23" i="229"/>
  <c r="B22" i="229"/>
  <c r="B21" i="229"/>
  <c r="B20" i="229"/>
  <c r="B19" i="229"/>
  <c r="B18" i="229"/>
  <c r="B17" i="229"/>
  <c r="B16" i="229"/>
  <c r="B15" i="229"/>
  <c r="B14" i="229"/>
  <c r="B13" i="229"/>
  <c r="B12" i="229"/>
  <c r="B11" i="229"/>
  <c r="B10" i="229"/>
  <c r="B9" i="229"/>
  <c r="B8" i="229"/>
  <c r="B7" i="229"/>
  <c r="B6" i="229"/>
  <c r="B5" i="229"/>
  <c r="B4" i="229"/>
  <c r="B3" i="229"/>
  <c r="B7" i="227"/>
  <c r="B50" i="227"/>
  <c r="B48" i="227"/>
  <c r="B47" i="227"/>
  <c r="B43" i="227"/>
  <c r="B40" i="227"/>
  <c r="B39" i="227"/>
  <c r="B38" i="227"/>
  <c r="B34" i="227"/>
  <c r="B33" i="227"/>
  <c r="B32" i="227"/>
  <c r="B31" i="227"/>
  <c r="B30" i="227"/>
  <c r="B29" i="227"/>
  <c r="B28" i="227"/>
  <c r="B27" i="227"/>
  <c r="B26" i="227"/>
  <c r="B25" i="227"/>
  <c r="B24" i="227"/>
  <c r="B23" i="227"/>
  <c r="B22" i="227"/>
  <c r="B21" i="227"/>
  <c r="B20" i="227"/>
  <c r="B19" i="227"/>
  <c r="B18" i="227"/>
  <c r="B17" i="227"/>
  <c r="B16" i="227"/>
  <c r="B15" i="227"/>
  <c r="B14" i="227"/>
  <c r="B13" i="227"/>
  <c r="B12" i="227"/>
  <c r="B11" i="227"/>
  <c r="B10" i="227"/>
  <c r="B9" i="227"/>
  <c r="B8" i="2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G4" authorId="0" shapeId="0" xr:uid="{FC240472-64F7-45AD-91D5-0E596568221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テーブルの別名を指定します
,(カンマ)区切りで複数指定可
&lt;Oracleのみ適用&gt;
先頭に*(アスタリスク)を付けると Public 指定となります
----------------------------------
※空白の場合はシノニムを出力しません
※シノニムを使用するユーザに対して、
あらかじめ適切な権限が付与されている必要があります
※サポートするDB種別は以下
Oracle
SQLServer
</t>
        </r>
      </text>
    </comment>
    <comment ref="E6" authorId="0" shapeId="0" xr:uid="{00000000-0006-0000-0300-000002000000}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&lt;Dr.Sum&gt;_x000D_
VARCHAR_x000D_
CHAR_x000D_
VARYING CHARACTER_x000D_
INTEGER_x000D_
INT_x000D_
SMALLINT_x000D_
TINYINT_x000D_
NUMERIC_x000D_
DECIMAL_x000D_
REAL_x000D_
FLOAT_x000D_
DOUBLE_x000D_
DATE_x000D_
TIME_x000D_
TIMESTAMP_x000D_
INTERVAL_x000D_
</t>
        </r>
      </text>
    </comment>
    <comment ref="I6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
【注意】
DB種別が Dr.Sum の場合は以下の処理を行います。
・PRIMARY列に2つ以上のカラムを指定した場合
カラム定義に
COMPOUND KEY &lt;pk_xxx&gt; NOT NULL UNIQUE 
を出力します。
・主キーを1つだけ指定したい場合
PRIMARY列には値を入力せず、
NOTNULL列 と UNIQUE列 に○を付け、INDEX列に 1 を指定してください。</t>
        </r>
      </text>
    </comment>
    <comment ref="M6" authorId="0" shapeId="0" xr:uid="{00000000-0006-0000-03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
【注意】
DB種別が Dr.Sum の場合、ユニークインデックスの指定はできません。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H2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I2" authorId="0" shapeId="0" xr:uid="{00000000-0006-0000-05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  <comment ref="K2" authorId="0" shapeId="0" xr:uid="{B9224BB1-E258-4293-AE93-559A57CC26C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以下のいずれかを設定してください
Oracle
PostgreSQL
SQLServer
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  <r>
          <rPr>
            <b/>
            <sz val="9"/>
            <color indexed="10"/>
            <rFont val="MS P ゴシック"/>
            <family val="3"/>
            <charset val="128"/>
          </rPr>
          <t>※Dr.Sum はサポートしていません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C1" authorId="0" shapeId="0" xr:uid="{ECB3870C-6C31-453D-B738-8DE2EF744D59}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 xr:uid="{E89E57F2-151C-40DB-9B74-F9201BEE6498}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 xr:uid="{6D75C759-40E8-4992-8AD9-38CCFD03EBD0}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 xr:uid="{9086287C-47E8-445C-AA16-3E66805F594F}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F2" authorId="0" shapeId="0" xr:uid="{6A9F395D-F2DD-41FD-BBB6-61DDFB5A563F}">
      <text>
        <r>
          <rPr>
            <sz val="9"/>
            <color indexed="81"/>
            <rFont val="ＭＳ Ｐゴシック"/>
            <family val="3"/>
            <charset val="128"/>
          </rPr>
          <t xml:space="preserve">DBインポート(テーブル仕様)時
CREATE文出力時、は ○
</t>
        </r>
      </text>
    </comment>
  </commentList>
</comments>
</file>

<file path=xl/sharedStrings.xml><?xml version="1.0" encoding="utf-8"?>
<sst xmlns="http://schemas.openxmlformats.org/spreadsheetml/2006/main" count="1135" uniqueCount="648">
  <si>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</si>
  <si>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</si>
  <si>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</si>
  <si>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</si>
  <si>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</si>
  <si>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</si>
  <si>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</si>
  <si>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</si>
  <si>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</si>
  <si>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</si>
  <si>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</si>
  <si>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</si>
  <si>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</si>
  <si>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</si>
  <si>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</si>
  <si>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</si>
  <si>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</si>
  <si>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</si>
  <si>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</si>
  <si>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</si>
  <si>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</si>
  <si>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</si>
  <si>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</si>
  <si>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</si>
  <si>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</si>
  <si>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</si>
  <si>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</si>
  <si>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</si>
  <si>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</si>
  <si>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</si>
  <si>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</si>
  <si>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</si>
  <si>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</si>
  <si>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</si>
  <si>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</si>
  <si>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</si>
  <si>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</si>
  <si>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</si>
  <si>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</si>
  <si>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</si>
  <si>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</si>
  <si>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</si>
  <si>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</si>
  <si>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</si>
  <si>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</si>
  <si>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</si>
  <si>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</si>
  <si>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</si>
  <si>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</si>
  <si>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</si>
  <si>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</si>
  <si>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</si>
  <si>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</si>
  <si>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</si>
  <si>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</si>
  <si>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</si>
  <si>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</si>
  <si>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</si>
  <si>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</si>
  <si>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</si>
  <si>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</si>
  <si>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</si>
  <si>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</si>
  <si>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</si>
  <si>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</si>
  <si>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</si>
  <si>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</si>
  <si>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</si>
  <si>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</si>
  <si>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</si>
  <si>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</si>
  <si>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</si>
  <si>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</si>
  <si>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</si>
  <si>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</si>
  <si>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</si>
  <si>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</si>
  <si>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</si>
  <si>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</si>
  <si>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</si>
  <si>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</si>
  <si>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</si>
  <si>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</si>
  <si>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</si>
  <si>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</si>
  <si>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</si>
  <si>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</si>
  <si>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</si>
  <si>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</si>
  <si>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</si>
  <si>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</si>
  <si>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</si>
  <si>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</si>
  <si>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</si>
  <si>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</si>
  <si>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</si>
  <si>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</si>
  <si>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</si>
  <si>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</si>
  <si>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</si>
  <si>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</si>
  <si>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</si>
  <si>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</si>
  <si>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</si>
  <si>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</si>
  <si>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</si>
  <si>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</si>
  <si>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</si>
  <si>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</si>
  <si>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</si>
  <si>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</si>
  <si>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</si>
  <si>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</si>
  <si>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</si>
  <si>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</si>
  <si>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</si>
  <si>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</si>
  <si>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</si>
  <si>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</si>
  <si>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</si>
  <si>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</si>
  <si>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</si>
  <si>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</si>
  <si>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</si>
  <si>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</si>
  <si>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</si>
  <si>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</si>
  <si>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</si>
  <si>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</si>
  <si>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</si>
  <si>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</si>
  <si>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</si>
  <si>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</si>
  <si>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</si>
  <si>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</si>
  <si>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</si>
  <si>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</si>
  <si>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</si>
  <si>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</si>
  <si>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</si>
  <si>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</si>
  <si>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</si>
  <si>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</si>
  <si>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</si>
  <si>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</si>
  <si>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</si>
  <si>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</si>
  <si>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</si>
  <si>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</si>
  <si>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</si>
  <si>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</si>
  <si>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</si>
  <si>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</si>
  <si>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</si>
  <si>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</si>
  <si>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</si>
  <si>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</si>
  <si>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</si>
  <si>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</si>
  <si>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</si>
  <si>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</si>
  <si>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</si>
  <si>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</si>
  <si>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</si>
  <si>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</si>
  <si>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</si>
  <si>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</si>
  <si>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</si>
  <si>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</si>
  <si>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</si>
  <si>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</si>
  <si>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</si>
  <si>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</si>
  <si>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</si>
  <si>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</si>
  <si>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</si>
  <si>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</si>
  <si>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</si>
  <si>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</si>
  <si>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</si>
  <si>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</si>
  <si>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</si>
  <si>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</si>
  <si>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</si>
  <si>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</si>
  <si>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</si>
  <si>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</si>
  <si>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</si>
  <si>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</si>
  <si>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</si>
  <si>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</si>
  <si>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</si>
  <si>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</si>
  <si>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</si>
  <si>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</si>
  <si>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</si>
  <si>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</si>
  <si>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</si>
  <si>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</si>
  <si>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</si>
  <si>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</si>
  <si>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</si>
  <si>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</si>
  <si>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</si>
  <si>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:NEW.InsertDate := SYSDATE</t>
  </si>
  <si>
    <t>/</t>
    <phoneticPr fontId="1"/>
  </si>
  <si>
    <t>);</t>
    <phoneticPr fontId="1"/>
  </si>
  <si>
    <t xml:space="preserve">  , %LOG_CREATE_TABLE_CLM_LIST%</t>
    <phoneticPr fontId="1"/>
  </si>
  <si>
    <t>BEGIN</t>
  </si>
  <si>
    <t>END;</t>
  </si>
  <si>
    <t xml:space="preserve">  IF (INSERTING) THEN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</si>
  <si>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</si>
  <si>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</si>
  <si>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</si>
  <si>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</si>
  <si>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</si>
  <si>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</si>
  <si>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</si>
  <si>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</si>
  <si>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</si>
  <si>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</si>
  <si>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</si>
  <si>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</si>
  <si>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</si>
  <si>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</si>
  <si>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</si>
  <si>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</si>
  <si>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</si>
  <si>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</si>
  <si>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</si>
  <si>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</si>
  <si>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</si>
  <si>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</si>
  <si>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</si>
  <si>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</si>
  <si>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</si>
  <si>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</si>
  <si>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</si>
  <si>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</si>
  <si>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</si>
  <si>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</si>
  <si>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</si>
  <si>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</si>
  <si>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</si>
  <si>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</si>
  <si>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</si>
  <si>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</si>
  <si>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</si>
  <si>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</si>
  <si>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</si>
  <si>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</si>
  <si>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</si>
  <si>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</si>
  <si>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</si>
  <si>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</si>
  <si>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</si>
  <si>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</si>
  <si>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</si>
  <si>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</si>
  <si>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</si>
  <si>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</si>
  <si>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</si>
  <si>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</si>
  <si>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</si>
  <si>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</si>
  <si>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</si>
  <si>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</si>
  <si>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</si>
  <si>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</si>
  <si>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</si>
  <si>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</si>
  <si>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</si>
  <si>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</si>
  <si>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</si>
  <si>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</si>
  <si>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</si>
  <si>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</si>
  <si>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</si>
  <si>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</si>
  <si>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</si>
  <si>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</si>
  <si>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</si>
  <si>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</si>
  <si>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</si>
  <si>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</si>
  <si>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</si>
  <si>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</si>
  <si>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</si>
  <si>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</si>
  <si>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</si>
  <si>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</si>
  <si>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</si>
  <si>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</si>
  <si>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</si>
  <si>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</si>
  <si>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</si>
  <si>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</si>
  <si>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</si>
  <si>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</si>
  <si>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</si>
  <si>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</si>
  <si>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</si>
  <si>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</si>
  <si>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</si>
  <si>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</si>
  <si>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</si>
  <si>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</si>
  <si>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</si>
  <si>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</si>
  <si>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</si>
  <si>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</si>
  <si>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</si>
  <si>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</si>
  <si>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</si>
  <si>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</si>
  <si>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</si>
  <si>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</si>
  <si>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</si>
  <si>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</si>
  <si>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</si>
  <si>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</si>
  <si>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</si>
  <si>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</si>
  <si>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</si>
  <si>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</si>
  <si>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</si>
  <si>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</si>
  <si>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</si>
  <si>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</si>
  <si>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</si>
  <si>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</si>
  <si>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</si>
  <si>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</si>
  <si>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</si>
  <si>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</si>
  <si>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</si>
  <si>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</si>
  <si>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</si>
  <si>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</si>
  <si>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</si>
  <si>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</si>
  <si>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</si>
  <si>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</si>
  <si>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</si>
  <si>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</si>
  <si>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</si>
  <si>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SELECT * INTO %schema_name%%table_name_e_sv% FROM %schema_name%%table_name_e%;</t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</si>
  <si>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</si>
  <si>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</si>
  <si>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</si>
  <si>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</si>
  <si>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</si>
  <si>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</si>
  <si>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</si>
  <si>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</si>
  <si>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</si>
  <si>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</si>
  <si>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</si>
  <si>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</si>
  <si>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</si>
  <si>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</si>
  <si>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</si>
  <si>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</si>
  <si>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項目名変換用辞書
0: このブックの辞書を使用
1: 他のブックの辞書を使用</t>
    <rPh sb="0" eb="2">
      <t>コウモク</t>
    </rPh>
    <rPh sb="2" eb="3">
      <t>メイ</t>
    </rPh>
    <rPh sb="3" eb="5">
      <t>ヘンカン</t>
    </rPh>
    <rPh sb="5" eb="6">
      <t>ヨウ</t>
    </rPh>
    <rPh sb="6" eb="8">
      <t>ジショ</t>
    </rPh>
    <rPh sb="18" eb="20">
      <t>ジショ</t>
    </rPh>
    <rPh sb="21" eb="23">
      <t>シヨウ</t>
    </rPh>
    <rPh sb="27" eb="28">
      <t>タ</t>
    </rPh>
    <rPh sb="33" eb="35">
      <t>ジショ</t>
    </rPh>
    <rPh sb="36" eb="38">
      <t>シヨウ</t>
    </rPh>
    <phoneticPr fontId="1"/>
  </si>
  <si>
    <t>項目名変換用辞書のブック名</t>
    <rPh sb="0" eb="2">
      <t>コウモク</t>
    </rPh>
    <rPh sb="2" eb="3">
      <t>メイ</t>
    </rPh>
    <rPh sb="3" eb="5">
      <t>ヘンカン</t>
    </rPh>
    <rPh sb="5" eb="6">
      <t>ヨウ</t>
    </rPh>
    <rPh sb="6" eb="8">
      <t>ジショ</t>
    </rPh>
    <rPh sb="12" eb="13">
      <t>メイ</t>
    </rPh>
    <phoneticPr fontId="1"/>
  </si>
  <si>
    <t>処理対象</t>
    <rPh sb="0" eb="2">
      <t>ショリ</t>
    </rPh>
    <rPh sb="2" eb="4">
      <t>タイショウ</t>
    </rPh>
    <phoneticPr fontId="1"/>
  </si>
  <si>
    <t>○</t>
    <phoneticPr fontId="1"/>
  </si>
  <si>
    <t>InsertDate = GETDATE()</t>
    <phoneticPr fontId="1"/>
  </si>
  <si>
    <t>SQLServer</t>
  </si>
  <si>
    <t>InsertHost</t>
    <phoneticPr fontId="1"/>
  </si>
  <si>
    <t>InsertIPAddress</t>
    <phoneticPr fontId="1"/>
  </si>
  <si>
    <t>○</t>
    <phoneticPr fontId="1"/>
  </si>
  <si>
    <t>InsertUserName</t>
    <phoneticPr fontId="1"/>
  </si>
  <si>
    <t>○</t>
    <phoneticPr fontId="1"/>
  </si>
  <si>
    <t>UpdateDate = GETDATE()</t>
  </si>
  <si>
    <t>更新ホスト</t>
    <phoneticPr fontId="1"/>
  </si>
  <si>
    <t>更新IPアドレス</t>
    <phoneticPr fontId="1"/>
  </si>
  <si>
    <t>IF OBJECT_ID('TGIU_%table_name_e%', 'TR') IS NOT NULL</t>
    <phoneticPr fontId="1"/>
  </si>
  <si>
    <t>GO</t>
    <phoneticPr fontId="1"/>
  </si>
  <si>
    <t xml:space="preserve">  FOR INSERT, UPDATE</t>
    <phoneticPr fontId="1"/>
  </si>
  <si>
    <t>AS</t>
    <phoneticPr fontId="1"/>
  </si>
  <si>
    <t>#LOGTABLE_OUT_START</t>
    <phoneticPr fontId="1"/>
  </si>
  <si>
    <t>-- ログ出力用テーブルを作成(LOG_%table_name_e%)</t>
    <rPh sb="5" eb="7">
      <t>シュツリョク</t>
    </rPh>
    <rPh sb="7" eb="8">
      <t>ヨウ</t>
    </rPh>
    <phoneticPr fontId="1"/>
  </si>
  <si>
    <t xml:space="preserve">  , %LOG_CREATE_TABLE_CLM_LIST%</t>
    <phoneticPr fontId="1"/>
  </si>
  <si>
    <t>);</t>
    <phoneticPr fontId="1"/>
  </si>
  <si>
    <t>IF OBJECT_ID('TGL_%table_name_e%', 'TR') IS NOT NULL</t>
    <phoneticPr fontId="1"/>
  </si>
  <si>
    <t xml:space="preserve">  DROP TRIGGER [TGL_%table_name_e%];</t>
    <phoneticPr fontId="1"/>
  </si>
  <si>
    <t>GO</t>
    <phoneticPr fontId="1"/>
  </si>
  <si>
    <t>CREATE TRIGGER [TGL_%table_name_e%] ON [%table_name_e%]</t>
    <phoneticPr fontId="1"/>
  </si>
  <si>
    <t xml:space="preserve">  FOR INSERT, UPDATE, DELETE</t>
    <phoneticPr fontId="1"/>
  </si>
  <si>
    <t>AS</t>
    <phoneticPr fontId="1"/>
  </si>
  <si>
    <t>-- インサート,アップデートトリガー (※プライマリキーが存在するテーブルのみ出力されます)</t>
    <rPh sb="30" eb="32">
      <t>ソンザイ</t>
    </rPh>
    <rPh sb="40" eb="42">
      <t>シュツリョク</t>
    </rPh>
    <phoneticPr fontId="1"/>
  </si>
  <si>
    <t xml:space="preserve">  DROP TRIGGER TGIU_%table_name_e%;</t>
    <phoneticPr fontId="1"/>
  </si>
  <si>
    <t>DROP TABLE %schema_name%LOG_%table_name_e%;</t>
    <phoneticPr fontId="1"/>
  </si>
  <si>
    <t>CREATE TABLE %schema_name%LOG_%table_name_e% (</t>
    <phoneticPr fontId="1"/>
  </si>
  <si>
    <t xml:space="preserve">    UPDDATE datetime</t>
  </si>
  <si>
    <t xml:space="preserve">  , HOST varchar(100)</t>
  </si>
  <si>
    <t xml:space="preserve">  , DB_USER varchar(100)</t>
  </si>
  <si>
    <t xml:space="preserve">  , OPEFLG char(1)</t>
  </si>
  <si>
    <t xml:space="preserve">  , IP_ADDRESS varchar(15)</t>
    <phoneticPr fontId="1"/>
  </si>
  <si>
    <t>#INSERT_UPDATE_TRG_START</t>
    <phoneticPr fontId="1"/>
  </si>
  <si>
    <t>-- プライマリーキーデータ</t>
    <phoneticPr fontId="1"/>
  </si>
  <si>
    <t>-- INSERTED, DELETED テーブルの項目数</t>
  </si>
  <si>
    <t>DECLARE @CNT_INS INT</t>
    <phoneticPr fontId="1"/>
  </si>
  <si>
    <t xml:space="preserve">      , @CNT_DEL INT</t>
    <phoneticPr fontId="1"/>
  </si>
  <si>
    <t>-- フェッチステータス</t>
  </si>
  <si>
    <t>DECLARE @FETCH_INS INT</t>
  </si>
  <si>
    <t>SELECT @CNT_INS = COUNT(*) FROM INSERTED</t>
  </si>
  <si>
    <t>SELECT @CNT_DEL = COUNT(*) FROM DELETED</t>
  </si>
  <si>
    <t>-- INSERTED, DELETED テーブルの項目数をセット</t>
    <rPh sb="26" eb="29">
      <t>コウモクスウ</t>
    </rPh>
    <phoneticPr fontId="1"/>
  </si>
  <si>
    <t>-- カーソルをオープン</t>
  </si>
  <si>
    <t>OPEN crInsTGIU</t>
  </si>
  <si>
    <t>-- フェッチ</t>
  </si>
  <si>
    <t>FETCH NEXT FROM crInsTGIU</t>
  </si>
  <si>
    <t>DECLARE %SQL_PK_DATATYPE_LIST%</t>
    <phoneticPr fontId="1"/>
  </si>
  <si>
    <t>SET @FETCH_INS = @@FETCH_STATUS</t>
  </si>
  <si>
    <t>BEGIN TRY ------------------------------</t>
  </si>
  <si>
    <t>IF @CNT_INS &gt; 0 AND @CNT_DEL &gt; 0</t>
  </si>
  <si>
    <t xml:space="preserve">  -- UPDATE</t>
  </si>
  <si>
    <t xml:space="preserve">  BEGIN</t>
  </si>
  <si>
    <t xml:space="preserve">    WHILE @FETCH_INS = 0 BEGIN</t>
  </si>
  <si>
    <t xml:space="preserve">        SET @FETCH_INS = @@FETCH_STATUS</t>
  </si>
  <si>
    <t xml:space="preserve">    END</t>
  </si>
  <si>
    <t xml:space="preserve">  END</t>
  </si>
  <si>
    <t>ELSE IF @CNT_INS &gt; 0 AND @CNT_DEL = 0</t>
  </si>
  <si>
    <t xml:space="preserve">  -- INSERT</t>
  </si>
  <si>
    <t>END TRY --------------------------------</t>
  </si>
  <si>
    <t xml:space="preserve">    WHILE @FETCH_INS = 0 BEGIN</t>
    <phoneticPr fontId="1"/>
  </si>
  <si>
    <t xml:space="preserve">        FETCH NEXT FROM crInsTGIU</t>
  </si>
  <si>
    <t xml:space="preserve">        PRINT @FETCH_INS</t>
  </si>
  <si>
    <t xml:space="preserve">           SET</t>
    <phoneticPr fontId="1"/>
  </si>
  <si>
    <t xml:space="preserve">         WHERE %SQL_INSUPDTRG_WHERE_LIST%</t>
    <phoneticPr fontId="1"/>
  </si>
  <si>
    <t>BEGIN CATCH</t>
  </si>
  <si>
    <t xml:space="preserve">  -- カーソルをクローズ</t>
  </si>
  <si>
    <t xml:space="preserve">  CLOSE crInsTGIU</t>
  </si>
  <si>
    <t xml:space="preserve">  DEALLOCATE crInsTGIU</t>
  </si>
  <si>
    <t>END CATCH</t>
  </si>
  <si>
    <t>-- カーソルをクローズ</t>
  </si>
  <si>
    <t>CLOSE crInsTGIU</t>
  </si>
  <si>
    <t>DEALLOCATE crInsTGIU</t>
  </si>
  <si>
    <t>;</t>
  </si>
  <si>
    <t>-- 各カラム用のINS, DELデータ</t>
    <rPh sb="3" eb="4">
      <t>カク</t>
    </rPh>
    <rPh sb="7" eb="8">
      <t>ヨウ</t>
    </rPh>
    <phoneticPr fontId="1"/>
  </si>
  <si>
    <t>DECLARE @FETCH_INS   INT</t>
  </si>
  <si>
    <t xml:space="preserve">      , @FETCH_DEL   INT</t>
  </si>
  <si>
    <t>-- カーソル変数</t>
  </si>
  <si>
    <t>DECLARE crInsTGIU CURSOR FOR</t>
  </si>
  <si>
    <t xml:space="preserve">  SELECT %SQL_PK_NAME_LIST% FROM INSERTED</t>
    <phoneticPr fontId="1"/>
  </si>
  <si>
    <t>DECLARE crInsTGL CURSOR FOR</t>
    <phoneticPr fontId="1"/>
  </si>
  <si>
    <t>DECLARE crDelTGL CURSOR FOR</t>
    <phoneticPr fontId="1"/>
  </si>
  <si>
    <t xml:space="preserve">  SELECT %SQL_CLM_NAME_LIST% FROM DELETED</t>
    <phoneticPr fontId="1"/>
  </si>
  <si>
    <t>-- カーソルをオープン</t>
    <phoneticPr fontId="1"/>
  </si>
  <si>
    <t>OPEN crInsTGL</t>
    <phoneticPr fontId="1"/>
  </si>
  <si>
    <t>OPEN crDelTGL</t>
    <phoneticPr fontId="1"/>
  </si>
  <si>
    <t xml:space="preserve">      SET @FETCH_DEL = @@FETCH_STATUS</t>
  </si>
  <si>
    <t xml:space="preserve">      SET @FETCH_INS = @@FETCH_STATUS</t>
  </si>
  <si>
    <t>ELSE</t>
  </si>
  <si>
    <t xml:space="preserve">  -- DELETE</t>
  </si>
  <si>
    <t xml:space="preserve">        , HOST</t>
  </si>
  <si>
    <t xml:space="preserve">        , IP_ADDRESS</t>
  </si>
  <si>
    <t xml:space="preserve">        , DB_USER</t>
  </si>
  <si>
    <t xml:space="preserve">        , OPEFLG</t>
  </si>
  <si>
    <t xml:space="preserve">        ) VALUES (</t>
  </si>
  <si>
    <t xml:space="preserve">          GETDATE()</t>
  </si>
  <si>
    <t xml:space="preserve">        , HOST_NAME()</t>
  </si>
  <si>
    <t xml:space="preserve">        , (SELECT client_net_address FROM sys.dm_exec_connections WHERE session_id = @@SPID)</t>
  </si>
  <si>
    <t xml:space="preserve">        , SUSER_NAME()</t>
  </si>
  <si>
    <t xml:space="preserve">        , 'U'</t>
  </si>
  <si>
    <t xml:space="preserve">        );</t>
  </si>
  <si>
    <t xml:space="preserve">          SET @FETCH_DEL = @@FETCH_STATUS</t>
  </si>
  <si>
    <t xml:space="preserve">          SET @FETCH_INS = @@FETCH_STATUS</t>
  </si>
  <si>
    <t xml:space="preserve">        , %LOG_OLD_CLM_DATA_LIST%</t>
    <phoneticPr fontId="1"/>
  </si>
  <si>
    <t xml:space="preserve">        , %LOG_NEW_CLM_DATA_LIST%</t>
    <phoneticPr fontId="1"/>
  </si>
  <si>
    <t xml:space="preserve">        FETCH NEXT FROM crDelTGL</t>
    <phoneticPr fontId="1"/>
  </si>
  <si>
    <t xml:space="preserve">          UPDDATE</t>
  </si>
  <si>
    <t xml:space="preserve">        , 'I'</t>
  </si>
  <si>
    <t xml:space="preserve">         SET @FETCH_INS = @@FETCH_STATUS</t>
  </si>
  <si>
    <t xml:space="preserve">        , %LOG_CLM_NAME_LIST%</t>
    <phoneticPr fontId="1"/>
  </si>
  <si>
    <t xml:space="preserve">    END</t>
    <phoneticPr fontId="1"/>
  </si>
  <si>
    <t xml:space="preserve">    WHILE @FETCH_INS = 0 AND @FETCH_DEL = 0 BEGIN</t>
    <phoneticPr fontId="1"/>
  </si>
  <si>
    <t xml:space="preserve">  END</t>
    <phoneticPr fontId="1"/>
  </si>
  <si>
    <t xml:space="preserve">    WHILE @FETCH_DEL = 0 BEGIN</t>
  </si>
  <si>
    <t xml:space="preserve">        , 'D'</t>
  </si>
  <si>
    <t>CLOSE crInsTGL</t>
    <phoneticPr fontId="1"/>
  </si>
  <si>
    <t>DEALLOCATE crInsTGL</t>
    <phoneticPr fontId="1"/>
  </si>
  <si>
    <t>CLOSE crDelTGL</t>
    <phoneticPr fontId="1"/>
  </si>
  <si>
    <t>DEALLOCATE crDelTGL</t>
    <phoneticPr fontId="1"/>
  </si>
  <si>
    <t xml:space="preserve">  -- カーソルをクローズ</t>
    <phoneticPr fontId="1"/>
  </si>
  <si>
    <t xml:space="preserve">  CLOSE crInsTGL</t>
    <phoneticPr fontId="1"/>
  </si>
  <si>
    <t xml:space="preserve">  DEALLOCATE crInsTGL</t>
    <phoneticPr fontId="1"/>
  </si>
  <si>
    <t xml:space="preserve">  CLOSE crDelTGL</t>
    <phoneticPr fontId="1"/>
  </si>
  <si>
    <t xml:space="preserve">  DEALLOCATE crDelTGL</t>
    <phoneticPr fontId="1"/>
  </si>
  <si>
    <t>-- カーソルをクローズ</t>
    <phoneticPr fontId="1"/>
  </si>
  <si>
    <t>#LOGTABLE_OUT_END</t>
    <phoneticPr fontId="1"/>
  </si>
  <si>
    <t>%EOF%</t>
    <phoneticPr fontId="1"/>
  </si>
  <si>
    <t xml:space="preserve">          UPDDATE</t>
    <phoneticPr fontId="1"/>
  </si>
  <si>
    <t xml:space="preserve">        , %LOG_CLM_DATA_NULL_LIST%</t>
    <phoneticPr fontId="1"/>
  </si>
  <si>
    <t xml:space="preserve">    FETCH NEXT FROM crDelTGL</t>
    <phoneticPr fontId="1"/>
  </si>
  <si>
    <t xml:space="preserve">    FETCH NEXT FROM crInsTGL</t>
    <phoneticPr fontId="1"/>
  </si>
  <si>
    <t xml:space="preserve">        FETCH NEXT FROM crDelTGL</t>
    <phoneticPr fontId="1"/>
  </si>
  <si>
    <t xml:space="preserve">        FETCH NEXT FROM crInsTGL</t>
    <phoneticPr fontId="1"/>
  </si>
  <si>
    <t xml:space="preserve">        FETCH NEXT FROM crInsTGL</t>
    <phoneticPr fontId="1"/>
  </si>
  <si>
    <t xml:space="preserve">         INTO %SQL_DEL_CLM_LIST%</t>
    <phoneticPr fontId="1"/>
  </si>
  <si>
    <t xml:space="preserve">         INTO %SQL_INS_CLM_LIST%</t>
    <phoneticPr fontId="1"/>
  </si>
  <si>
    <t xml:space="preserve">     INTO %SQL_INS_CLM_LIST%</t>
    <phoneticPr fontId="1"/>
  </si>
  <si>
    <t xml:space="preserve">        INTO %SQL_INS_CLM_LIST%</t>
    <phoneticPr fontId="1"/>
  </si>
  <si>
    <t xml:space="preserve">     INTO %SQL_DEL_CLM_LIST%</t>
    <phoneticPr fontId="1"/>
  </si>
  <si>
    <t xml:space="preserve">         WHERE %SQL_INSUPDTRG_WHERE_LIST%</t>
    <phoneticPr fontId="1"/>
  </si>
  <si>
    <t xml:space="preserve">     INTO %SQL_INS_CLM_LIST%</t>
    <phoneticPr fontId="1"/>
  </si>
  <si>
    <t xml:space="preserve">     INTO %SQL_DEL_CLM_LIST%</t>
    <phoneticPr fontId="1"/>
  </si>
  <si>
    <t xml:space="preserve">        INTO %SQL_PK_CLM_LIST%</t>
    <phoneticPr fontId="1"/>
  </si>
  <si>
    <t>INTO %SQL_PK_CLM_LIST%</t>
    <phoneticPr fontId="1"/>
  </si>
  <si>
    <t xml:space="preserve">           %SQL_UPDTRG_DATA_LIST%</t>
    <phoneticPr fontId="1"/>
  </si>
  <si>
    <t xml:space="preserve">           %SQL_INSTRG_DATA_LIST%</t>
    <phoneticPr fontId="1"/>
  </si>
  <si>
    <t xml:space="preserve">    %INSERT_TRIGGER_LIST%</t>
    <phoneticPr fontId="1"/>
  </si>
  <si>
    <t xml:space="preserve">  SELECT %SQL_CLM_NAME_LIST% FROM INSERTED</t>
    <phoneticPr fontId="1"/>
  </si>
  <si>
    <t>DECLARE %SQL_DEL_CLMDATATYPE_LIST%</t>
    <phoneticPr fontId="1"/>
  </si>
  <si>
    <t>DECLARE %SQL_INS_CLMDATATYPE_LIST%</t>
    <phoneticPr fontId="1"/>
  </si>
  <si>
    <t>SQLServer</t>
    <phoneticPr fontId="1"/>
  </si>
  <si>
    <t>CREATE TRIGGER TGIU_%table_name_e% ON %table_name_e%</t>
    <phoneticPr fontId="1"/>
  </si>
  <si>
    <t xml:space="preserve">        UPDATE %table_name_e%</t>
    <phoneticPr fontId="1"/>
  </si>
  <si>
    <t xml:space="preserve">        INSERT INTO LOG_%table_name_e% (</t>
    <phoneticPr fontId="1"/>
  </si>
  <si>
    <t>システム名称　：</t>
    <rPh sb="4" eb="6">
      <t>メイショウ</t>
    </rPh>
    <phoneticPr fontId="17"/>
  </si>
  <si>
    <t>版　　　　数　：</t>
    <rPh sb="0" eb="1">
      <t>ハン</t>
    </rPh>
    <rPh sb="5" eb="6">
      <t>カズ</t>
    </rPh>
    <phoneticPr fontId="17"/>
  </si>
  <si>
    <t>改　 訂　 日　：</t>
    <rPh sb="0" eb="1">
      <t>アラタ</t>
    </rPh>
    <rPh sb="3" eb="4">
      <t>テイ</t>
    </rPh>
    <rPh sb="6" eb="7">
      <t>ヒ</t>
    </rPh>
    <phoneticPr fontId="17"/>
  </si>
  <si>
    <t>改　 訂　 者　：</t>
    <rPh sb="6" eb="7">
      <t>シャ</t>
    </rPh>
    <phoneticPr fontId="17"/>
  </si>
  <si>
    <t>改訂日</t>
  </si>
  <si>
    <t>改訂者</t>
  </si>
  <si>
    <t>対象</t>
  </si>
  <si>
    <t>改訂内容</t>
  </si>
  <si>
    <t>テ ー ブ ル 仕 様 書</t>
    <rPh sb="8" eb="9">
      <t>ツコウ</t>
    </rPh>
    <rPh sb="10" eb="11">
      <t>サマ</t>
    </rPh>
    <rPh sb="12" eb="13">
      <t>ショ</t>
    </rPh>
    <phoneticPr fontId="17"/>
  </si>
  <si>
    <t>GO</t>
    <phoneticPr fontId="1"/>
  </si>
  <si>
    <t>版数</t>
    <rPh sb="0" eb="2">
      <t>ハンスウ</t>
    </rPh>
    <phoneticPr fontId="1"/>
  </si>
  <si>
    <t>NO</t>
    <phoneticPr fontId="1"/>
  </si>
  <si>
    <t>№</t>
    <phoneticPr fontId="19"/>
  </si>
  <si>
    <t>ALTER SESSION SET NLS_LENGTH_SEMANTICS='CHAR';</t>
    <phoneticPr fontId="1"/>
  </si>
  <si>
    <t xml:space="preserve">  varret := PKG_WIZEDBMASTER.COPYSAMECOLUMNDATA('%schema_name%%table_name_e_sv%', '%schema_name%%table_name_e%', 'D');</t>
    <phoneticPr fontId="1"/>
  </si>
  <si>
    <t>定義型</t>
    <rPh sb="0" eb="3">
      <t>テイギガタ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</si>
  <si>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</si>
  <si>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</si>
  <si>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DATE</t>
    <phoneticPr fontId="1"/>
  </si>
  <si>
    <t>VARCHAR2</t>
  </si>
  <si>
    <t>DATETIME</t>
    <phoneticPr fontId="1"/>
  </si>
  <si>
    <t>INET</t>
    <phoneticPr fontId="1"/>
  </si>
  <si>
    <t>NAME</t>
    <phoneticPr fontId="1"/>
  </si>
  <si>
    <t>NVARCHAR</t>
    <phoneticPr fontId="1"/>
  </si>
  <si>
    <t>VARCHAR</t>
    <phoneticPr fontId="1"/>
  </si>
  <si>
    <t>:NEW.InsertIPAddress := SUBSTR(SYS_CONTEXT('userenv', 'ip_address'), 1, 48)</t>
    <phoneticPr fontId="1"/>
  </si>
  <si>
    <t>:NEW.UpdateIPAddress := SUBSTR(SYS_CONTEXT('userenv', 'ip_address'), 1, 48)</t>
    <phoneticPr fontId="1"/>
  </si>
  <si>
    <t>InsertHost = SUBSTR(HOST_NAME(), 1, 128)</t>
    <phoneticPr fontId="1"/>
  </si>
  <si>
    <t>InsertIPAddress = SUBSTR((SELECT client_net_address FROM sys.dm_exec_connections WHERE session_id = @@SPID), 1, 48)</t>
    <phoneticPr fontId="1"/>
  </si>
  <si>
    <t>InsertUserName = SUBSTR(SUSER_NAME(), 1, 128)</t>
    <phoneticPr fontId="1"/>
  </si>
  <si>
    <t>UpdateHost = SUBSTR(HOST_NAME(), 1, 128)</t>
    <phoneticPr fontId="1"/>
  </si>
  <si>
    <t>UpdateIPAddress = SUBSTR((SELECT client_net_address FROM sys.dm_exec_connections WHERE session_id = @@SPID), 1, 48)</t>
    <phoneticPr fontId="1"/>
  </si>
  <si>
    <t>UpdateUserName = SUBSTR(SUSER_NAME(), 1, 128)</t>
    <phoneticPr fontId="1"/>
  </si>
  <si>
    <t>:NEW.InsertModule := SUBSTR(SYS_CONTEXT('userenv', 'module'), 1, 128)</t>
  </si>
  <si>
    <t>:NEW.InsertHost := SUBSTR(SYS_CONTEXT('userenv', 'host'), 1, 128)</t>
  </si>
  <si>
    <t>:NEW.InsertTerminal := SUBSTR(SYS_CONTEXT('userenv', 'terminal'), 1, 128)</t>
  </si>
  <si>
    <t>:NEW.InsertUserName := SUBSTR(SYS_CONTEXT('userenv', 'os_user'), 1, 128)</t>
  </si>
  <si>
    <t>:NEW.UpdateModule := SUBSTR(SYS_CONTEXT('userenv', 'module'), 1, 128)</t>
  </si>
  <si>
    <t>:NEW.UpdateHost := SUBSTR(SYS_CONTEXT('userenv', 'host'), 1, 128)</t>
  </si>
  <si>
    <t>:NEW.UpdateTerminal := SUBSTR(SYS_CONTEXT('userenv', 'terminal'), 1, 128)</t>
  </si>
  <si>
    <t>:NEW.UpdateUserName := SUBSTR(SYS_CONTEXT('userenv', 'os_user'), 1, 128)</t>
  </si>
  <si>
    <t>CREATE文出力フォルダ</t>
    <rPh sb="6" eb="7">
      <t>ブン</t>
    </rPh>
    <rPh sb="7" eb="9">
      <t>シュツリョク</t>
    </rPh>
    <phoneticPr fontId="1"/>
  </si>
  <si>
    <t>SQL文出力</t>
    <rPh sb="3" eb="4">
      <t>ブン</t>
    </rPh>
    <rPh sb="4" eb="6">
      <t>シュツリョク</t>
    </rPh>
    <phoneticPr fontId="1"/>
  </si>
  <si>
    <t>SQL文種別</t>
    <rPh sb="3" eb="4">
      <t>ブン</t>
    </rPh>
    <rPh sb="4" eb="6">
      <t>シュベツ</t>
    </rPh>
    <phoneticPr fontId="1"/>
  </si>
  <si>
    <t>SQL文出力先</t>
    <rPh sb="3" eb="4">
      <t>ブン</t>
    </rPh>
    <rPh sb="4" eb="6">
      <t>シュツリョク</t>
    </rPh>
    <rPh sb="6" eb="7">
      <t>サキ</t>
    </rPh>
    <phoneticPr fontId="1"/>
  </si>
  <si>
    <t>SQL文出力フォルダ</t>
    <rPh sb="3" eb="4">
      <t>ブン</t>
    </rPh>
    <rPh sb="4" eb="6">
      <t>シュツリョク</t>
    </rPh>
    <phoneticPr fontId="1"/>
  </si>
  <si>
    <t>C:\Users\user_name\Documents\</t>
    <phoneticPr fontId="1"/>
  </si>
  <si>
    <t>.\DictionaryBook.xlsm</t>
    <phoneticPr fontId="1"/>
  </si>
  <si>
    <t>引用符</t>
    <rPh sb="0" eb="3">
      <t>インヨウフ</t>
    </rPh>
    <phoneticPr fontId="1"/>
  </si>
  <si>
    <t>"</t>
    <phoneticPr fontId="1"/>
  </si>
  <si>
    <t>[</t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</si>
  <si>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</si>
  <si>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</si>
  <si>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]</t>
    <phoneticPr fontId="1"/>
  </si>
  <si>
    <t>`</t>
    <phoneticPr fontId="1"/>
  </si>
  <si>
    <t>テーブル名,項目名を引用符で囲む</t>
    <rPh sb="4" eb="5">
      <t>メイ</t>
    </rPh>
    <rPh sb="6" eb="8">
      <t>コウモク</t>
    </rPh>
    <rPh sb="8" eb="9">
      <t>メイ</t>
    </rPh>
    <rPh sb="10" eb="13">
      <t>インヨウフ</t>
    </rPh>
    <rPh sb="14" eb="15">
      <t>カコ</t>
    </rPh>
    <phoneticPr fontId="1"/>
  </si>
  <si>
    <t>DROP TABLE IF EXISTS %schema_name%%table_name_e_sv%;</t>
    <phoneticPr fontId="1"/>
  </si>
  <si>
    <t>IF EXISTS ( SELECT name FROM sys.objects WHERE object_id = OBJECT_ID(N'%schema_name%%table_name_e%') AND type in (N'U') )</t>
    <phoneticPr fontId="1"/>
  </si>
  <si>
    <t>DROP TABLE IF EXISTS %schema_name%%table_name_e%;</t>
    <phoneticPr fontId="1"/>
  </si>
  <si>
    <t>Dr.Sum</t>
    <phoneticPr fontId="1"/>
  </si>
  <si>
    <t>--   データベース: Dr.Sum 5.5</t>
    <phoneticPr fontId="1"/>
  </si>
  <si>
    <t>★Ver1.8.8 以降で参照</t>
    <rPh sb="10" eb="12">
      <t>イコウ</t>
    </rPh>
    <rPh sb="13" eb="15">
      <t>サンショウ</t>
    </rPh>
    <phoneticPr fontId="1"/>
  </si>
  <si>
    <t>データベース種別</t>
    <rPh sb="6" eb="8">
      <t>シュベツ</t>
    </rPh>
    <phoneticPr fontId="1"/>
  </si>
  <si>
    <t>&lt;Dr.Sum&gt;</t>
    <phoneticPr fontId="1"/>
  </si>
  <si>
    <t>DOUBLE</t>
    <phoneticPr fontId="1"/>
  </si>
  <si>
    <t>INTERVAL</t>
    <phoneticPr fontId="1"/>
  </si>
  <si>
    <t>VARYING CHARACTER</t>
    <phoneticPr fontId="1"/>
  </si>
  <si>
    <t>VARCHAR型に変換される</t>
    <rPh sb="7" eb="8">
      <t>ガタ</t>
    </rPh>
    <rPh sb="9" eb="11">
      <t>ヘンカン</t>
    </rPh>
    <phoneticPr fontId="1"/>
  </si>
  <si>
    <t>NUMERIC(33, 0) に変換される</t>
    <rPh sb="16" eb="18">
      <t>ヘンカン</t>
    </rPh>
    <phoneticPr fontId="1"/>
  </si>
  <si>
    <t>NUMERIC型に変換される</t>
    <rPh sb="7" eb="8">
      <t>カタ</t>
    </rPh>
    <rPh sb="9" eb="11">
      <t>ヘンカン</t>
    </rPh>
    <phoneticPr fontId="1"/>
  </si>
  <si>
    <t>REAL型と同等</t>
    <rPh sb="4" eb="5">
      <t>ガタ</t>
    </rPh>
    <rPh sb="6" eb="8">
      <t>ドウトウ</t>
    </rPh>
    <phoneticPr fontId="1"/>
  </si>
  <si>
    <t>length: 秒の小数点以下の桁数、省略時は小数点以下の値なし</t>
    <rPh sb="8" eb="9">
      <t>ビョウ</t>
    </rPh>
    <rPh sb="10" eb="15">
      <t>ショウスウテンイカ</t>
    </rPh>
    <rPh sb="16" eb="18">
      <t>ケタスウ</t>
    </rPh>
    <rPh sb="19" eb="22">
      <t>ショウリャクジ</t>
    </rPh>
    <rPh sb="23" eb="26">
      <t>ショウスウテン</t>
    </rPh>
    <rPh sb="26" eb="28">
      <t>イカ</t>
    </rPh>
    <rPh sb="29" eb="30">
      <t>アタイ</t>
    </rPh>
    <phoneticPr fontId="1"/>
  </si>
  <si>
    <t xml:space="preserve">データベース種別選択
0: Oracle
1: PostgreSQL
2: SQLServer
3: Dr.Sum
</t>
    <rPh sb="6" eb="8">
      <t>シュベツ</t>
    </rPh>
    <rPh sb="8" eb="10">
      <t>センタク</t>
    </rPh>
    <phoneticPr fontId="1"/>
  </si>
  <si>
    <t>環境設定画面.データベース種別選択ドロップダウンリスト用</t>
    <rPh sb="0" eb="2">
      <t>カンキョウ</t>
    </rPh>
    <rPh sb="2" eb="4">
      <t>セッテイ</t>
    </rPh>
    <rPh sb="4" eb="6">
      <t>ガメン</t>
    </rPh>
    <rPh sb="13" eb="15">
      <t>シュベツ</t>
    </rPh>
    <rPh sb="15" eb="17">
      <t>センタク</t>
    </rPh>
    <rPh sb="27" eb="28">
      <t>ヨウ</t>
    </rPh>
    <phoneticPr fontId="1"/>
  </si>
  <si>
    <t>#トリガー設定シート.データベース種別選択ドロップダウンリスト用</t>
    <rPh sb="5" eb="7">
      <t>セッテイ</t>
    </rPh>
    <rPh sb="17" eb="19">
      <t>シュベツ</t>
    </rPh>
    <rPh sb="19" eb="21">
      <t>センタク</t>
    </rPh>
    <rPh sb="31" eb="32">
      <t>ヨウ</t>
    </rPh>
    <phoneticPr fontId="1"/>
  </si>
  <si>
    <t>schema_name</t>
    <phoneticPr fontId="1"/>
  </si>
  <si>
    <t>DB_TEST</t>
    <phoneticPr fontId="1"/>
  </si>
  <si>
    <t>Ver1.9.0 以降</t>
    <rPh sb="9" eb="11">
      <t>イコウ</t>
    </rPh>
    <phoneticPr fontId="1"/>
  </si>
  <si>
    <t>#COMMENT_START</t>
    <phoneticPr fontId="1"/>
  </si>
  <si>
    <t>#COMMENT_END</t>
    <phoneticPr fontId="1"/>
  </si>
  <si>
    <t>#BACKUP_TABLE_START</t>
  </si>
  <si>
    <t>#BACKUP_TABLE_START</t>
    <phoneticPr fontId="1"/>
  </si>
  <si>
    <t>#BACKUP_TABLE_END</t>
    <phoneticPr fontId="1"/>
  </si>
  <si>
    <t>#RESTORE_TABLE_START</t>
    <phoneticPr fontId="1"/>
  </si>
  <si>
    <t>#RESTORE_TABLE_END</t>
    <phoneticPr fontId="1"/>
  </si>
  <si>
    <t>○</t>
  </si>
  <si>
    <t>#CREATE_SYNONYM_START</t>
    <phoneticPr fontId="1"/>
  </si>
  <si>
    <t>#CREATE_SYNONYM_END</t>
    <phoneticPr fontId="1"/>
  </si>
  <si>
    <t>-- シノニム</t>
    <phoneticPr fontId="1"/>
  </si>
  <si>
    <t>%CREATE_SYNONYM_LIST%</t>
    <phoneticPr fontId="1"/>
  </si>
  <si>
    <t>別名(シノニム)</t>
    <rPh sb="0" eb="2">
      <t>ベツメイ</t>
    </rPh>
    <phoneticPr fontId="1"/>
  </si>
  <si>
    <t>EXEC sys.sp_addextendedproperty @name=N'MS_Description'</t>
  </si>
  <si>
    <t xml:space="preserve">                               ,@value=N'%table_comment%'</t>
  </si>
  <si>
    <t xml:space="preserve">                               ,@level0type=N'SCHEMA'</t>
  </si>
  <si>
    <t xml:space="preserve">                               ,@level0name=N'%RAW_schema_name%'</t>
  </si>
  <si>
    <t xml:space="preserve">                               ,@level1type=N'TABLE'</t>
  </si>
  <si>
    <t xml:space="preserve">                               ,@level1name=N'%RAW_table_name_e%';</t>
  </si>
  <si>
    <t>完全一致チェック</t>
    <rPh sb="0" eb="2">
      <t>カンゼン</t>
    </rPh>
    <rPh sb="2" eb="4">
      <t>イッチ</t>
    </rPh>
    <phoneticPr fontId="1"/>
  </si>
  <si>
    <t>UpdDate</t>
    <phoneticPr fontId="1"/>
  </si>
  <si>
    <t>datetime</t>
    <phoneticPr fontId="1"/>
  </si>
  <si>
    <t>sysdate</t>
    <phoneticPr fontId="1"/>
  </si>
  <si>
    <t>InsDate</t>
    <phoneticPr fontId="1"/>
  </si>
  <si>
    <t>LotNo</t>
    <phoneticPr fontId="1"/>
  </si>
  <si>
    <t>varchar2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</si>
  <si>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</si>
  <si>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</si>
  <si>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</si>
  <si>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</si>
  <si>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</si>
  <si>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</si>
  <si>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</si>
  <si>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</si>
  <si>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</si>
  <si>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</si>
  <si>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</si>
  <si>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</si>
  <si>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</si>
  <si>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</si>
  <si>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</si>
  <si>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</si>
  <si>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</si>
  <si>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</si>
  <si>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</si>
  <si>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</si>
  <si>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第１．０版</t>
    <phoneticPr fontId="17"/>
  </si>
  <si>
    <t>ALTER TABLE %schema_name%%table_name_e% MODIFY COMMENT '%table_comment%';</t>
    <phoneticPr fontId="1"/>
  </si>
  <si>
    <t>odbc_oracle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</si>
</sst>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_ "/>
    <numFmt numFmtId="177" formatCode="[$-F800]dddd\,\ mmmm\ dd\,\ yyyy"/>
    <numFmt numFmtId="178" formatCode="yyyy&quot;年&quot;m&quot;月&quot;d&quot;日&quot;;@"/>
    <numFmt numFmtId="179" formatCode="yyyy/mm/dd"/>
  </numFmts>
  <fonts count="3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8"/>
      <name val="ＭＳ ゴシック"/>
      <family val="3"/>
      <charset val="128"/>
    </font>
    <font>
      <sz val="8"/>
      <name val="ＭＳ ゴシック"/>
      <family val="3"/>
      <charset val="128"/>
    </font>
    <font>
      <b/>
      <sz val="26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明朝"/>
      <family val="1"/>
      <charset val="128"/>
    </font>
    <font>
      <u/>
      <sz val="8.25"/>
      <color indexed="36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99330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242424"/>
      <name val="ＭＳ ゴシック"/>
      <family val="3"/>
      <charset val="128"/>
    </font>
    <font>
      <b/>
      <sz val="11"/>
      <color theme="4" tint="-0.249977111117893"/>
      <name val="ＭＳ Ｐゴシック"/>
      <family val="3"/>
      <charset val="128"/>
      <scheme val="minor"/>
    </font>
    <font>
      <b/>
      <sz val="9"/>
      <color theme="4" tint="-0.249977111117893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9"/>
      <color indexed="10"/>
      <name val="MS P ゴシック"/>
      <family val="3"/>
      <charset val="128"/>
    </font>
    <font>
      <sz val="9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3" fillId="0" borderId="0"/>
    <xf numFmtId="0" fontId="13" fillId="0" borderId="0"/>
    <xf numFmtId="0" fontId="13" fillId="0" borderId="0"/>
    <xf numFmtId="0" fontId="18" fillId="0" borderId="0"/>
  </cellStyleXfs>
  <cellXfs count="1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15" fillId="0" borderId="0" xfId="2" applyFont="1"/>
    <xf numFmtId="0" fontId="5" fillId="0" borderId="0" xfId="0" applyFont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14" fillId="0" borderId="6" xfId="2" applyFont="1" applyBorder="1" applyAlignment="1">
      <alignment vertical="center"/>
    </xf>
    <xf numFmtId="0" fontId="14" fillId="0" borderId="7" xfId="2" applyFont="1" applyBorder="1" applyAlignment="1">
      <alignment vertical="center"/>
    </xf>
    <xf numFmtId="0" fontId="15" fillId="0" borderId="7" xfId="2" applyFont="1" applyBorder="1" applyAlignment="1">
      <alignment vertical="center"/>
    </xf>
    <xf numFmtId="177" fontId="15" fillId="0" borderId="7" xfId="2" applyNumberFormat="1" applyFont="1" applyBorder="1" applyAlignment="1">
      <alignment vertical="center"/>
    </xf>
    <xf numFmtId="0" fontId="15" fillId="0" borderId="8" xfId="2" applyFont="1" applyBorder="1" applyAlignment="1">
      <alignment vertical="center"/>
    </xf>
    <xf numFmtId="0" fontId="14" fillId="0" borderId="9" xfId="2" applyFont="1" applyBorder="1" applyAlignment="1">
      <alignment vertical="center"/>
    </xf>
    <xf numFmtId="0" fontId="15" fillId="0" borderId="0" xfId="2" applyFont="1" applyAlignment="1">
      <alignment vertical="center"/>
    </xf>
    <xf numFmtId="0" fontId="15" fillId="0" borderId="10" xfId="2" applyFont="1" applyBorder="1" applyAlignment="1">
      <alignment vertical="center"/>
    </xf>
    <xf numFmtId="0" fontId="15" fillId="0" borderId="9" xfId="2" applyFont="1" applyBorder="1"/>
    <xf numFmtId="0" fontId="15" fillId="0" borderId="10" xfId="2" applyFont="1" applyBorder="1"/>
    <xf numFmtId="0" fontId="14" fillId="0" borderId="0" xfId="2" applyFont="1"/>
    <xf numFmtId="17" fontId="15" fillId="0" borderId="0" xfId="2" applyNumberFormat="1" applyFont="1"/>
    <xf numFmtId="49" fontId="15" fillId="0" borderId="0" xfId="2" applyNumberFormat="1" applyFont="1"/>
    <xf numFmtId="0" fontId="15" fillId="0" borderId="13" xfId="2" applyFont="1" applyBorder="1"/>
    <xf numFmtId="0" fontId="15" fillId="0" borderId="4" xfId="2" applyFont="1" applyBorder="1"/>
    <xf numFmtId="0" fontId="15" fillId="0" borderId="14" xfId="2" applyFont="1" applyBorder="1"/>
    <xf numFmtId="0" fontId="28" fillId="0" borderId="0" xfId="0" applyFont="1">
      <alignment vertical="center"/>
    </xf>
    <xf numFmtId="0" fontId="0" fillId="0" borderId="7" xfId="0" applyBorder="1">
      <alignment vertical="center"/>
    </xf>
    <xf numFmtId="0" fontId="5" fillId="0" borderId="7" xfId="0" applyFont="1" applyBorder="1">
      <alignment vertical="center"/>
    </xf>
    <xf numFmtId="0" fontId="0" fillId="0" borderId="0" xfId="0" applyFill="1">
      <alignment vertical="center"/>
    </xf>
    <xf numFmtId="0" fontId="0" fillId="9" borderId="1" xfId="0" quotePrefix="1" applyFill="1" applyBorder="1">
      <alignment vertical="center"/>
    </xf>
    <xf numFmtId="0" fontId="30" fillId="0" borderId="0" xfId="0" applyFont="1">
      <alignment vertical="center"/>
    </xf>
    <xf numFmtId="0" fontId="0" fillId="8" borderId="0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176" fontId="9" fillId="0" borderId="6" xfId="1" applyNumberFormat="1" applyFont="1" applyFill="1" applyBorder="1" applyAlignment="1">
      <alignment horizontal="center" vertical="center" wrapText="1"/>
    </xf>
    <xf numFmtId="0" fontId="9" fillId="0" borderId="6" xfId="1" applyNumberFormat="1" applyFont="1" applyFill="1" applyBorder="1" applyAlignment="1">
      <alignment vertical="center" shrinkToFit="1"/>
    </xf>
    <xf numFmtId="0" fontId="31" fillId="2" borderId="6" xfId="0" applyFont="1" applyFill="1" applyBorder="1" applyAlignment="1">
      <alignment horizontal="center" vertical="center"/>
    </xf>
    <xf numFmtId="49" fontId="31" fillId="2" borderId="21" xfId="0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vertical="center" shrinkToFit="1"/>
    </xf>
    <xf numFmtId="176" fontId="9" fillId="0" borderId="6" xfId="0" applyNumberFormat="1" applyFont="1" applyFill="1" applyBorder="1">
      <alignment vertical="center"/>
    </xf>
    <xf numFmtId="49" fontId="9" fillId="0" borderId="6" xfId="0" applyNumberFormat="1" applyFont="1" applyFill="1" applyBorder="1" applyAlignment="1">
      <alignment vertical="center" shrinkToFit="1"/>
    </xf>
    <xf numFmtId="0" fontId="9" fillId="0" borderId="6" xfId="0" applyFont="1" applyFill="1" applyBorder="1" applyAlignment="1">
      <alignment horizontal="center" vertical="center"/>
    </xf>
    <xf numFmtId="49" fontId="9" fillId="0" borderId="21" xfId="0" applyNumberFormat="1" applyFont="1" applyFill="1" applyBorder="1" applyAlignment="1">
      <alignment vertical="center" wrapText="1"/>
    </xf>
    <xf numFmtId="0" fontId="9" fillId="0" borderId="7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center" vertical="center"/>
    </xf>
    <xf numFmtId="176" fontId="9" fillId="0" borderId="2" xfId="1" applyNumberFormat="1" applyFont="1" applyFill="1" applyBorder="1" applyAlignment="1">
      <alignment horizontal="center" vertical="center" wrapText="1"/>
    </xf>
    <xf numFmtId="0" fontId="9" fillId="0" borderId="2" xfId="1" applyNumberFormat="1" applyFont="1" applyFill="1" applyBorder="1" applyAlignment="1">
      <alignment vertical="center" shrinkToFit="1"/>
    </xf>
    <xf numFmtId="0" fontId="9" fillId="0" borderId="2" xfId="0" applyFont="1" applyFill="1" applyBorder="1" applyAlignment="1">
      <alignment vertical="center" shrinkToFit="1"/>
    </xf>
    <xf numFmtId="176" fontId="9" fillId="0" borderId="2" xfId="0" applyNumberFormat="1" applyFont="1" applyFill="1" applyBorder="1">
      <alignment vertical="center"/>
    </xf>
    <xf numFmtId="49" fontId="9" fillId="0" borderId="2" xfId="0" applyNumberFormat="1" applyFont="1" applyFill="1" applyBorder="1" applyAlignment="1">
      <alignment vertical="center" shrinkToFit="1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5" fillId="2" borderId="1" xfId="0" applyFont="1" applyFill="1" applyBorder="1">
      <alignment vertical="center"/>
    </xf>
    <xf numFmtId="0" fontId="35" fillId="0" borderId="0" xfId="0" applyFont="1">
      <alignment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Protection="1">
      <alignment vertical="center"/>
      <protection hidden="1"/>
    </xf>
    <xf numFmtId="0" fontId="31" fillId="2" borderId="2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9" fillId="0" borderId="0" xfId="4" applyFont="1" applyAlignment="1">
      <alignment vertical="top"/>
    </xf>
    <xf numFmtId="0" fontId="15" fillId="0" borderId="0" xfId="4" applyFont="1" applyAlignment="1">
      <alignment vertical="top"/>
    </xf>
    <xf numFmtId="0" fontId="31" fillId="2" borderId="5" xfId="0" applyFont="1" applyFill="1" applyBorder="1" applyAlignment="1">
      <alignment horizontal="left" vertical="center"/>
    </xf>
    <xf numFmtId="0" fontId="31" fillId="2" borderId="3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8" fillId="0" borderId="5" xfId="2" applyFont="1" applyBorder="1" applyAlignment="1">
      <alignment horizontal="left" indent="1"/>
    </xf>
    <xf numFmtId="0" fontId="8" fillId="0" borderId="5" xfId="2" applyFont="1" applyBorder="1" applyAlignment="1">
      <alignment horizontal="left"/>
    </xf>
    <xf numFmtId="0" fontId="16" fillId="0" borderId="11" xfId="2" applyFont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0" borderId="12" xfId="2" applyFont="1" applyBorder="1" applyAlignment="1">
      <alignment horizontal="center" vertical="center"/>
    </xf>
    <xf numFmtId="0" fontId="8" fillId="0" borderId="5" xfId="3" applyFont="1" applyBorder="1" applyAlignment="1">
      <alignment horizontal="left"/>
    </xf>
    <xf numFmtId="178" fontId="8" fillId="0" borderId="5" xfId="2" applyNumberFormat="1" applyFont="1" applyBorder="1" applyAlignment="1">
      <alignment horizontal="left"/>
    </xf>
    <xf numFmtId="0" fontId="20" fillId="0" borderId="18" xfId="5" applyFont="1" applyBorder="1" applyAlignment="1">
      <alignment horizontal="left" vertical="top" wrapText="1"/>
    </xf>
    <xf numFmtId="0" fontId="20" fillId="0" borderId="19" xfId="5" applyFont="1" applyBorder="1" applyAlignment="1">
      <alignment horizontal="left" vertical="top"/>
    </xf>
    <xf numFmtId="0" fontId="20" fillId="0" borderId="20" xfId="5" applyFont="1" applyBorder="1" applyAlignment="1">
      <alignment horizontal="left" vertical="top"/>
    </xf>
    <xf numFmtId="0" fontId="15" fillId="0" borderId="18" xfId="5" applyFont="1" applyBorder="1" applyAlignment="1">
      <alignment vertical="top"/>
    </xf>
    <xf numFmtId="0" fontId="15" fillId="0" borderId="20" xfId="5" applyFont="1" applyBorder="1" applyAlignment="1">
      <alignment vertical="top"/>
    </xf>
    <xf numFmtId="179" fontId="20" fillId="0" borderId="18" xfId="5" applyNumberFormat="1" applyFont="1" applyBorder="1" applyAlignment="1">
      <alignment horizontal="center" vertical="top"/>
    </xf>
    <xf numFmtId="179" fontId="20" fillId="0" borderId="19" xfId="5" applyNumberFormat="1" applyFont="1" applyBorder="1" applyAlignment="1">
      <alignment horizontal="center" vertical="top"/>
    </xf>
    <xf numFmtId="179" fontId="20" fillId="0" borderId="20" xfId="5" applyNumberFormat="1" applyFont="1" applyBorder="1" applyAlignment="1">
      <alignment horizontal="center" vertical="top"/>
    </xf>
    <xf numFmtId="0" fontId="20" fillId="0" borderId="18" xfId="5" applyFont="1" applyBorder="1" applyAlignment="1">
      <alignment horizontal="center" vertical="top"/>
    </xf>
    <xf numFmtId="0" fontId="20" fillId="0" borderId="19" xfId="5" applyFont="1" applyBorder="1" applyAlignment="1">
      <alignment horizontal="center" vertical="top"/>
    </xf>
    <xf numFmtId="0" fontId="20" fillId="0" borderId="20" xfId="5" applyFont="1" applyBorder="1" applyAlignment="1">
      <alignment horizontal="center" vertical="top"/>
    </xf>
    <xf numFmtId="0" fontId="20" fillId="0" borderId="18" xfId="5" applyFont="1" applyBorder="1" applyAlignment="1">
      <alignment horizontal="left" vertical="top"/>
    </xf>
    <xf numFmtId="0" fontId="15" fillId="0" borderId="22" xfId="5" applyFont="1" applyBorder="1" applyAlignment="1">
      <alignment vertical="top"/>
    </xf>
    <xf numFmtId="179" fontId="20" fillId="0" borderId="15" xfId="5" applyNumberFormat="1" applyFont="1" applyBorder="1" applyAlignment="1">
      <alignment horizontal="center" vertical="top"/>
    </xf>
    <xf numFmtId="179" fontId="20" fillId="0" borderId="16" xfId="5" applyNumberFormat="1" applyFont="1" applyBorder="1" applyAlignment="1">
      <alignment horizontal="center" vertical="top"/>
    </xf>
    <xf numFmtId="179" fontId="20" fillId="0" borderId="17" xfId="5" applyNumberFormat="1" applyFont="1" applyBorder="1" applyAlignment="1">
      <alignment horizontal="center" vertical="top"/>
    </xf>
    <xf numFmtId="0" fontId="20" fillId="0" borderId="15" xfId="5" applyFont="1" applyBorder="1" applyAlignment="1">
      <alignment horizontal="center" vertical="top"/>
    </xf>
    <xf numFmtId="0" fontId="20" fillId="0" borderId="16" xfId="5" applyFont="1" applyBorder="1" applyAlignment="1">
      <alignment horizontal="center" vertical="top"/>
    </xf>
    <xf numFmtId="0" fontId="20" fillId="0" borderId="17" xfId="5" applyFont="1" applyBorder="1" applyAlignment="1">
      <alignment horizontal="center" vertical="top"/>
    </xf>
    <xf numFmtId="0" fontId="27" fillId="10" borderId="2" xfId="5" applyFont="1" applyFill="1" applyBorder="1" applyAlignment="1">
      <alignment horizontal="center" vertical="top"/>
    </xf>
    <xf numFmtId="0" fontId="27" fillId="10" borderId="3" xfId="5" applyFont="1" applyFill="1" applyBorder="1" applyAlignment="1">
      <alignment horizontal="center" vertical="top"/>
    </xf>
    <xf numFmtId="0" fontId="27" fillId="10" borderId="5" xfId="5" applyFont="1" applyFill="1" applyBorder="1" applyAlignment="1">
      <alignment horizontal="center" vertical="top"/>
    </xf>
    <xf numFmtId="0" fontId="27" fillId="10" borderId="2" xfId="5" applyFont="1" applyFill="1" applyBorder="1" applyAlignment="1">
      <alignment horizontal="left" vertical="top"/>
    </xf>
    <xf numFmtId="0" fontId="27" fillId="10" borderId="5" xfId="5" applyFont="1" applyFill="1" applyBorder="1" applyAlignment="1">
      <alignment horizontal="left" vertical="top"/>
    </xf>
    <xf numFmtId="0" fontId="27" fillId="10" borderId="3" xfId="5" applyFont="1" applyFill="1" applyBorder="1" applyAlignment="1">
      <alignment horizontal="left" vertical="top"/>
    </xf>
    <xf numFmtId="0" fontId="20" fillId="0" borderId="15" xfId="5" applyFont="1" applyBorder="1" applyAlignment="1">
      <alignment horizontal="left" vertical="top"/>
    </xf>
    <xf numFmtId="0" fontId="20" fillId="0" borderId="16" xfId="5" applyFont="1" applyBorder="1" applyAlignment="1">
      <alignment horizontal="left" vertical="top"/>
    </xf>
    <xf numFmtId="0" fontId="20" fillId="0" borderId="17" xfId="5" applyFont="1" applyBorder="1" applyAlignment="1">
      <alignment horizontal="left" vertical="top"/>
    </xf>
    <xf numFmtId="179" fontId="20" fillId="0" borderId="26" xfId="5" applyNumberFormat="1" applyFont="1" applyBorder="1" applyAlignment="1">
      <alignment horizontal="center" vertical="top"/>
    </xf>
    <xf numFmtId="179" fontId="20" fillId="0" borderId="27" xfId="5" applyNumberFormat="1" applyFont="1" applyBorder="1" applyAlignment="1">
      <alignment horizontal="center" vertical="top"/>
    </xf>
    <xf numFmtId="179" fontId="20" fillId="0" borderId="28" xfId="5" applyNumberFormat="1" applyFont="1" applyBorder="1" applyAlignment="1">
      <alignment horizontal="center" vertical="top"/>
    </xf>
    <xf numFmtId="0" fontId="20" fillId="0" borderId="26" xfId="5" applyFont="1" applyBorder="1" applyAlignment="1">
      <alignment horizontal="center" vertical="top"/>
    </xf>
    <xf numFmtId="0" fontId="20" fillId="0" borderId="27" xfId="5" applyFont="1" applyBorder="1" applyAlignment="1">
      <alignment horizontal="center" vertical="top"/>
    </xf>
    <xf numFmtId="0" fontId="20" fillId="0" borderId="28" xfId="5" applyFont="1" applyBorder="1" applyAlignment="1">
      <alignment horizontal="center" vertical="top"/>
    </xf>
    <xf numFmtId="179" fontId="20" fillId="0" borderId="23" xfId="5" applyNumberFormat="1" applyFont="1" applyBorder="1" applyAlignment="1">
      <alignment horizontal="center" vertical="top"/>
    </xf>
    <xf numFmtId="179" fontId="20" fillId="0" borderId="24" xfId="5" applyNumberFormat="1" applyFont="1" applyBorder="1" applyAlignment="1">
      <alignment horizontal="center" vertical="top"/>
    </xf>
    <xf numFmtId="179" fontId="20" fillId="0" borderId="25" xfId="5" applyNumberFormat="1" applyFont="1" applyBorder="1" applyAlignment="1">
      <alignment horizontal="center" vertical="top"/>
    </xf>
    <xf numFmtId="0" fontId="20" fillId="0" borderId="23" xfId="5" applyFont="1" applyBorder="1" applyAlignment="1">
      <alignment horizontal="center" vertical="top"/>
    </xf>
    <xf numFmtId="0" fontId="20" fillId="0" borderId="24" xfId="5" applyFont="1" applyBorder="1" applyAlignment="1">
      <alignment horizontal="center" vertical="top"/>
    </xf>
    <xf numFmtId="0" fontId="20" fillId="0" borderId="25" xfId="5" applyFont="1" applyBorder="1" applyAlignment="1">
      <alignment horizontal="center" vertical="top"/>
    </xf>
    <xf numFmtId="0" fontId="15" fillId="0" borderId="29" xfId="5" applyFont="1" applyBorder="1" applyAlignment="1">
      <alignment vertical="top"/>
    </xf>
    <xf numFmtId="0" fontId="15" fillId="0" borderId="30" xfId="5" applyFont="1" applyBorder="1" applyAlignment="1">
      <alignment vertical="top"/>
    </xf>
    <xf numFmtId="179" fontId="20" fillId="0" borderId="29" xfId="5" applyNumberFormat="1" applyFont="1" applyBorder="1" applyAlignment="1">
      <alignment horizontal="center" vertical="top"/>
    </xf>
    <xf numFmtId="179" fontId="20" fillId="0" borderId="31" xfId="5" applyNumberFormat="1" applyFont="1" applyBorder="1" applyAlignment="1">
      <alignment horizontal="center" vertical="top"/>
    </xf>
    <xf numFmtId="179" fontId="20" fillId="0" borderId="30" xfId="5" applyNumberFormat="1" applyFont="1" applyBorder="1" applyAlignment="1">
      <alignment horizontal="center" vertical="top"/>
    </xf>
    <xf numFmtId="0" fontId="20" fillId="0" borderId="29" xfId="5" applyFont="1" applyBorder="1" applyAlignment="1">
      <alignment horizontal="center" vertical="top"/>
    </xf>
    <xf numFmtId="0" fontId="20" fillId="0" borderId="31" xfId="5" applyFont="1" applyBorder="1" applyAlignment="1">
      <alignment horizontal="center" vertical="top"/>
    </xf>
    <xf numFmtId="0" fontId="20" fillId="0" borderId="30" xfId="5" applyFont="1" applyBorder="1" applyAlignment="1">
      <alignment horizontal="center" vertical="top"/>
    </xf>
    <xf numFmtId="0" fontId="20" fillId="0" borderId="29" xfId="5" applyFont="1" applyBorder="1" applyAlignment="1">
      <alignment horizontal="left" vertical="top"/>
    </xf>
    <xf numFmtId="0" fontId="20" fillId="0" borderId="31" xfId="5" applyFont="1" applyBorder="1" applyAlignment="1">
      <alignment horizontal="left" vertical="top"/>
    </xf>
    <xf numFmtId="0" fontId="20" fillId="0" borderId="30" xfId="5" applyFont="1" applyBorder="1" applyAlignment="1">
      <alignment horizontal="left" vertical="top"/>
    </xf>
  </cellXfs>
  <cellStyles count="6">
    <cellStyle name="標準" xfId="0" builtinId="0"/>
    <cellStyle name="標準 2" xfId="2" xr:uid="{00000000-0005-0000-0000-000001000000}"/>
    <cellStyle name="標準 2 2" xfId="3" xr:uid="{00000000-0005-0000-0000-000002000000}"/>
    <cellStyle name="標準 2_11_画面設計書_マスタ" xfId="4" xr:uid="{00000000-0005-0000-0000-000003000000}"/>
    <cellStyle name="標準_ファイル設計書" xfId="1" xr:uid="{00000000-0005-0000-0000-000004000000}"/>
    <cellStyle name="標準_ﾌﾟﾛｸﾞﾗﾑ一覧" xfId="5" xr:uid="{00000000-0005-0000-0000-000005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57150</xdr:rowOff>
        </xdr:from>
        <xdr:to>
          <xdr:col>2</xdr:col>
          <xdr:colOff>1304925</xdr:colOff>
          <xdr:row>0</xdr:row>
          <xdr:rowOff>419100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テーブル一覧へ移動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1524000</xdr:colOff>
          <xdr:row>0</xdr:row>
          <xdr:rowOff>57150</xdr:rowOff>
        </xdr:from>
        <xdr:to>
          <xdr:col>3</xdr:col>
          <xdr:colOff>238125</xdr:colOff>
          <xdr:row>0</xdr:row>
          <xdr:rowOff>419100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57150</xdr:rowOff>
        </xdr:from>
        <xdr:to>
          <xdr:col>3</xdr:col>
          <xdr:colOff>1419225</xdr:colOff>
          <xdr:row>0</xdr:row>
          <xdr:rowOff>409575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5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0</xdr:row>
          <xdr:rowOff>57150</xdr:rowOff>
        </xdr:from>
        <xdr:to>
          <xdr:col>5</xdr:col>
          <xdr:colOff>285750</xdr:colOff>
          <xdr:row>0</xdr:row>
          <xdr:rowOff>409575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5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項目名変換(日-&gt;英)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0</xdr:row>
          <xdr:rowOff>57150</xdr:rowOff>
        </xdr:from>
        <xdr:to>
          <xdr:col>8</xdr:col>
          <xdr:colOff>552450</xdr:colOff>
          <xdr:row>0</xdr:row>
          <xdr:rowOff>419100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5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項目名変換(英-&gt;日)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828675</xdr:colOff>
          <xdr:row>0</xdr:row>
          <xdr:rowOff>47625</xdr:rowOff>
        </xdr:from>
        <xdr:to>
          <xdr:col>11</xdr:col>
          <xdr:colOff>2705100</xdr:colOff>
          <xdr:row>0</xdr:row>
          <xdr:rowOff>409575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5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DBインポート(テーブル仕様)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2876550</xdr:colOff>
          <xdr:row>0</xdr:row>
          <xdr:rowOff>38100</xdr:rowOff>
        </xdr:from>
        <xdr:to>
          <xdr:col>15</xdr:col>
          <xdr:colOff>257175</xdr:colOff>
          <xdr:row>0</xdr:row>
          <xdr:rowOff>409575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5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CREATE文出力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11</xdr:col>
          <xdr:colOff>409575</xdr:colOff>
          <xdr:row>0</xdr:row>
          <xdr:rowOff>409575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5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</xdr:row>
          <xdr:rowOff>0</xdr:rowOff>
        </xdr:from>
        <xdr:to>
          <xdr:col>18</xdr:col>
          <xdr:colOff>95250</xdr:colOff>
          <xdr:row>4</xdr:row>
          <xdr:rowOff>142875</xdr:rowOff>
        </xdr:to>
        <xdr:sp macro="" textlink="">
          <xdr:nvSpPr>
            <xdr:cNvPr id="24604" name="Group Box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5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CREATE文出力オプション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1</xdr:row>
          <xdr:rowOff>142875</xdr:rowOff>
        </xdr:from>
        <xdr:to>
          <xdr:col>11</xdr:col>
          <xdr:colOff>1628775</xdr:colOff>
          <xdr:row>3</xdr:row>
          <xdr:rowOff>38100</xdr:rowOff>
        </xdr:to>
        <xdr:sp macro="" textlink="">
          <xdr:nvSpPr>
            <xdr:cNvPr id="24605" name="cbTableBackup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5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テーブルバックアップ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38100</xdr:rowOff>
        </xdr:from>
        <xdr:to>
          <xdr:col>11</xdr:col>
          <xdr:colOff>1628775</xdr:colOff>
          <xdr:row>4</xdr:row>
          <xdr:rowOff>104775</xdr:rowOff>
        </xdr:to>
        <xdr:sp macro="" textlink="">
          <xdr:nvSpPr>
            <xdr:cNvPr id="24606" name="cbTableRestore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5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テーブルリストア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1743075</xdr:colOff>
          <xdr:row>1</xdr:row>
          <xdr:rowOff>142875</xdr:rowOff>
        </xdr:from>
        <xdr:to>
          <xdr:col>12</xdr:col>
          <xdr:colOff>114300</xdr:colOff>
          <xdr:row>3</xdr:row>
          <xdr:rowOff>38100</xdr:rowOff>
        </xdr:to>
        <xdr:sp macro="" textlink="">
          <xdr:nvSpPr>
            <xdr:cNvPr id="24608" name="cbTableComment" descr="テーブルのコメント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5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テーブルのコメント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2886075</xdr:colOff>
          <xdr:row>1</xdr:row>
          <xdr:rowOff>142875</xdr:rowOff>
        </xdr:from>
        <xdr:to>
          <xdr:col>15</xdr:col>
          <xdr:colOff>200025</xdr:colOff>
          <xdr:row>3</xdr:row>
          <xdr:rowOff>47625</xdr:rowOff>
        </xdr:to>
        <xdr:sp macro="" textlink="">
          <xdr:nvSpPr>
            <xdr:cNvPr id="24609" name="cbInsUpdTrg" descr="インサート, アップデートトリガー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5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インサート,アップデートトリガー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2886075</xdr:colOff>
          <xdr:row>3</xdr:row>
          <xdr:rowOff>28575</xdr:rowOff>
        </xdr:from>
        <xdr:to>
          <xdr:col>15</xdr:col>
          <xdr:colOff>200025</xdr:colOff>
          <xdr:row>4</xdr:row>
          <xdr:rowOff>104775</xdr:rowOff>
        </xdr:to>
        <xdr:sp macro="" textlink="">
          <xdr:nvSpPr>
            <xdr:cNvPr id="24610" name="cbLogOutputTrg" descr="ログテーブル出力&#10;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5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ログテーブル出力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</xdr:row>
          <xdr:rowOff>85725</xdr:rowOff>
        </xdr:from>
        <xdr:to>
          <xdr:col>17</xdr:col>
          <xdr:colOff>266700</xdr:colOff>
          <xdr:row>2</xdr:row>
          <xdr:rowOff>114300</xdr:rowOff>
        </xdr:to>
        <xdr:sp macro="" textlink="">
          <xdr:nvSpPr>
            <xdr:cNvPr id="24611" name="Button 35" descr="全項目OFF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5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全項目ON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3</xdr:row>
          <xdr:rowOff>19050</xdr:rowOff>
        </xdr:from>
        <xdr:to>
          <xdr:col>17</xdr:col>
          <xdr:colOff>276225</xdr:colOff>
          <xdr:row>4</xdr:row>
          <xdr:rowOff>47625</xdr:rowOff>
        </xdr:to>
        <xdr:sp macro="" textlink="">
          <xdr:nvSpPr>
            <xdr:cNvPr id="24612" name="Button 36" descr="全項目OFF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5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全項目OFF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600075</xdr:rowOff>
        </xdr:from>
        <xdr:to>
          <xdr:col>2</xdr:col>
          <xdr:colOff>476250</xdr:colOff>
          <xdr:row>0</xdr:row>
          <xdr:rowOff>1076325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A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環境設定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1323975</xdr:colOff>
          <xdr:row>0</xdr:row>
          <xdr:rowOff>57150</xdr:rowOff>
        </xdr:from>
        <xdr:to>
          <xdr:col>2</xdr:col>
          <xdr:colOff>2533650</xdr:colOff>
          <xdr:row>0</xdr:row>
          <xdr:rowOff>533400</xdr:rowOff>
        </xdr:to>
        <xdr:sp macro="" textlink="">
          <xdr:nvSpPr>
            <xdr:cNvPr id="2102" name="Button 54" descr="CREATE文出力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A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CREATE文出力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2609850</xdr:colOff>
          <xdr:row>0</xdr:row>
          <xdr:rowOff>57150</xdr:rowOff>
        </xdr:from>
        <xdr:to>
          <xdr:col>3</xdr:col>
          <xdr:colOff>1200150</xdr:colOff>
          <xdr:row>0</xdr:row>
          <xdr:rowOff>533400</xdr:rowOff>
        </xdr:to>
        <xdr:sp macro="" textlink="">
          <xdr:nvSpPr>
            <xdr:cNvPr id="2103" name="Button 55" descr="CREATE文出力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A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データ作成用シートの作成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1323975</xdr:colOff>
          <xdr:row>0</xdr:row>
          <xdr:rowOff>47625</xdr:rowOff>
        </xdr:from>
        <xdr:to>
          <xdr:col>3</xdr:col>
          <xdr:colOff>2905125</xdr:colOff>
          <xdr:row>0</xdr:row>
          <xdr:rowOff>523875</xdr:rowOff>
        </xdr:to>
        <xdr:sp macro="" textlink="">
          <xdr:nvSpPr>
            <xdr:cNvPr id="2104" name="Button 56" descr="CREATE文出力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A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DBインポート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(テーブル一覧)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2990850</xdr:colOff>
          <xdr:row>0</xdr:row>
          <xdr:rowOff>38100</xdr:rowOff>
        </xdr:from>
        <xdr:to>
          <xdr:col>4</xdr:col>
          <xdr:colOff>1304925</xdr:colOff>
          <xdr:row>0</xdr:row>
          <xdr:rowOff>514350</xdr:rowOff>
        </xdr:to>
        <xdr:sp macro="" textlink="">
          <xdr:nvSpPr>
            <xdr:cNvPr id="2105" name="Button 57" descr="CREATE文出力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A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DBインポート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(テーブル仕様)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3276600</xdr:colOff>
          <xdr:row>0</xdr:row>
          <xdr:rowOff>28575</xdr:rowOff>
        </xdr:from>
        <xdr:to>
          <xdr:col>6</xdr:col>
          <xdr:colOff>9525</xdr:colOff>
          <xdr:row>0</xdr:row>
          <xdr:rowOff>504825</xdr:rowOff>
        </xdr:to>
        <xdr:sp macro="" textlink="">
          <xdr:nvSpPr>
            <xdr:cNvPr id="2106" name="Button 58" descr="CREATE文出力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A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テーブル仕様書マイグレーション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66675</xdr:rowOff>
        </xdr:from>
        <xdr:to>
          <xdr:col>2</xdr:col>
          <xdr:colOff>1123950</xdr:colOff>
          <xdr:row>0</xdr:row>
          <xdr:rowOff>542925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A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各テーブル仕様へ移動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609600</xdr:rowOff>
        </xdr:from>
        <xdr:to>
          <xdr:col>2</xdr:col>
          <xdr:colOff>1733550</xdr:colOff>
          <xdr:row>0</xdr:row>
          <xdr:rowOff>1085850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A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1790700</xdr:colOff>
          <xdr:row>0</xdr:row>
          <xdr:rowOff>609600</xdr:rowOff>
        </xdr:from>
        <xdr:to>
          <xdr:col>2</xdr:col>
          <xdr:colOff>2809875</xdr:colOff>
          <xdr:row>0</xdr:row>
          <xdr:rowOff>1085850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A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2971800</xdr:colOff>
          <xdr:row>0</xdr:row>
          <xdr:rowOff>609600</xdr:rowOff>
        </xdr:from>
        <xdr:to>
          <xdr:col>3</xdr:col>
          <xdr:colOff>1438275</xdr:colOff>
          <xdr:row>0</xdr:row>
          <xdr:rowOff>1085850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A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テーブル順序入替(上)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1533525</xdr:colOff>
          <xdr:row>0</xdr:row>
          <xdr:rowOff>609600</xdr:rowOff>
        </xdr:from>
        <xdr:to>
          <xdr:col>3</xdr:col>
          <xdr:colOff>3076575</xdr:colOff>
          <xdr:row>0</xdr:row>
          <xdr:rowOff>1085850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A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テーブル順序入替(下)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</xdr:colOff>
          <xdr:row>0</xdr:row>
          <xdr:rowOff>600075</xdr:rowOff>
        </xdr:from>
        <xdr:to>
          <xdr:col>4</xdr:col>
          <xdr:colOff>1724025</xdr:colOff>
          <xdr:row>0</xdr:row>
          <xdr:rowOff>1076325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A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2019300</xdr:colOff>
          <xdr:row>0</xdr:row>
          <xdr:rowOff>609600</xdr:rowOff>
        </xdr:from>
        <xdr:to>
          <xdr:col>4</xdr:col>
          <xdr:colOff>3495675</xdr:colOff>
          <xdr:row>0</xdr:row>
          <xdr:rowOff>1085850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A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項目名変換(日-&gt;英)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3762375</xdr:colOff>
          <xdr:row>0</xdr:row>
          <xdr:rowOff>609600</xdr:rowOff>
        </xdr:from>
        <xdr:to>
          <xdr:col>6</xdr:col>
          <xdr:colOff>9525</xdr:colOff>
          <xdr:row>0</xdr:row>
          <xdr:rowOff>1085850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A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項目名変換(英-&gt;日)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0</xdr:row>
          <xdr:rowOff>38100</xdr:rowOff>
        </xdr:from>
        <xdr:to>
          <xdr:col>4</xdr:col>
          <xdr:colOff>3067050</xdr:colOff>
          <xdr:row>0</xdr:row>
          <xdr:rowOff>523875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A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テーブル仕様シート作成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omments" Target="../comments4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テーブル仕様書_環境設定"/>
  <dimension ref="A1:F169"/>
  <sheetViews>
    <sheetView zoomScale="85" zoomScaleNormal="85" workbookViewId="0">
      <selection activeCell="F2" sqref="F2"/>
    </sheetView>
  </sheetViews>
  <sheetFormatPr defaultRowHeight="13.5"/>
  <cols>
    <col min="1" max="1" width="29.875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347</v>
      </c>
      <c r="C1">
        <v>1</v>
      </c>
      <c r="D1">
        <v>9</v>
      </c>
      <c r="E1">
        <v>2</v>
      </c>
      <c r="F1" s="53"/>
    </row>
    <row r="3" spans="1:6" ht="72" customHeight="1">
      <c r="A3" s="18" t="s">
        <v>593</v>
      </c>
      <c r="B3" s="19">
        <v>0</v>
      </c>
      <c r="D3" s="7">
        <v>0</v>
      </c>
      <c r="E3" s="7" t="s">
        <v>158</v>
      </c>
      <c r="F3" t="s">
        <v>594</v>
      </c>
    </row>
    <row r="4" spans="1:6">
      <c r="A4" s="12" t="s">
        <v>1</v>
      </c>
      <c r="B4" s="12" t="s">
        <v>647</v>
      </c>
      <c r="D4" s="7">
        <v>1</v>
      </c>
      <c r="E4" s="7" t="s">
        <v>159</v>
      </c>
    </row>
    <row r="5" spans="1:6">
      <c r="A5" s="12" t="s">
        <v>562</v>
      </c>
      <c r="B5" s="12" t="s">
        <v>567</v>
      </c>
      <c r="D5" s="7">
        <v>2</v>
      </c>
      <c r="E5" s="7" t="s">
        <v>517</v>
      </c>
    </row>
    <row r="6" spans="1:6">
      <c r="A6" s="12" t="s">
        <v>6</v>
      </c>
      <c r="B6" s="12" t="s">
        <v>596</v>
      </c>
      <c r="D6" s="7">
        <v>3</v>
      </c>
      <c r="E6" s="7" t="s">
        <v>580</v>
      </c>
    </row>
    <row r="7" spans="1:6">
      <c r="A7" s="12" t="s">
        <v>13</v>
      </c>
      <c r="B7" s="12" t="s">
        <v>597</v>
      </c>
      <c r="D7" s="7">
        <v>4</v>
      </c>
      <c r="E7" s="81" t="s">
        <v>336</v>
      </c>
    </row>
    <row r="8" spans="1:6">
      <c r="A8" s="12" t="s">
        <v>37</v>
      </c>
      <c r="B8" s="12" t="s">
        <v>532</v>
      </c>
    </row>
    <row r="9" spans="1:6" ht="12.75" customHeight="1">
      <c r="A9" s="13" t="s">
        <v>38</v>
      </c>
      <c r="B9" s="12" t="s">
        <v>532</v>
      </c>
    </row>
    <row r="10" spans="1:6">
      <c r="A10" s="12" t="s">
        <v>576</v>
      </c>
      <c r="B10" s="26" t="s">
        <v>532</v>
      </c>
    </row>
    <row r="11" spans="1:6" ht="60.75" customHeight="1">
      <c r="A11" s="25" t="s">
        <v>363</v>
      </c>
      <c r="B11" s="19">
        <v>0</v>
      </c>
    </row>
    <row r="12" spans="1:6">
      <c r="A12" s="12" t="s">
        <v>364</v>
      </c>
      <c r="B12" s="12" t="s">
        <v>568</v>
      </c>
      <c r="E12" s="14" t="s">
        <v>158</v>
      </c>
      <c r="F12" t="s">
        <v>595</v>
      </c>
    </row>
    <row r="13" spans="1:6">
      <c r="A13" s="20"/>
      <c r="B13" s="20"/>
      <c r="E13" s="14" t="s">
        <v>159</v>
      </c>
    </row>
    <row r="14" spans="1:6">
      <c r="A14" s="20" t="s">
        <v>563</v>
      </c>
      <c r="B14" s="20"/>
      <c r="E14" s="14" t="s">
        <v>517</v>
      </c>
    </row>
    <row r="15" spans="1:6">
      <c r="A15" s="12" t="s">
        <v>564</v>
      </c>
      <c r="B15" s="36">
        <v>4</v>
      </c>
      <c r="E15" s="14" t="s">
        <v>336</v>
      </c>
    </row>
    <row r="16" spans="1:6">
      <c r="A16" s="12" t="s">
        <v>565</v>
      </c>
      <c r="B16" s="36">
        <v>0</v>
      </c>
    </row>
    <row r="17" spans="1:6">
      <c r="A17" s="12" t="s">
        <v>566</v>
      </c>
      <c r="B17" s="35" t="s">
        <v>567</v>
      </c>
    </row>
    <row r="18" spans="1:6">
      <c r="B18" s="20"/>
    </row>
    <row r="19" spans="1:6">
      <c r="A19" s="20" t="s">
        <v>569</v>
      </c>
      <c r="B19" s="20"/>
    </row>
    <row r="20" spans="1:6">
      <c r="A20" s="59" t="s">
        <v>583</v>
      </c>
      <c r="B20" s="59" t="s">
        <v>572</v>
      </c>
      <c r="C20" s="60" t="s">
        <v>573</v>
      </c>
      <c r="D20" s="56" t="s">
        <v>582</v>
      </c>
    </row>
    <row r="21" spans="1:6">
      <c r="A21" s="57">
        <v>0</v>
      </c>
      <c r="B21" s="24" t="s">
        <v>570</v>
      </c>
      <c r="C21" s="24" t="s">
        <v>570</v>
      </c>
      <c r="D21" t="s">
        <v>158</v>
      </c>
    </row>
    <row r="22" spans="1:6">
      <c r="A22" s="57">
        <v>1</v>
      </c>
      <c r="B22" s="24" t="s">
        <v>570</v>
      </c>
      <c r="C22" s="24" t="s">
        <v>570</v>
      </c>
      <c r="D22" t="s">
        <v>159</v>
      </c>
    </row>
    <row r="23" spans="1:6">
      <c r="A23" s="57">
        <v>2</v>
      </c>
      <c r="B23" s="24" t="s">
        <v>571</v>
      </c>
      <c r="C23" s="24" t="s">
        <v>574</v>
      </c>
      <c r="D23" t="s">
        <v>517</v>
      </c>
    </row>
    <row r="24" spans="1:6">
      <c r="A24" s="57">
        <v>3</v>
      </c>
      <c r="B24" s="24" t="s">
        <v>570</v>
      </c>
      <c r="C24" s="24" t="s">
        <v>570</v>
      </c>
      <c r="D24" t="s">
        <v>580</v>
      </c>
    </row>
    <row r="25" spans="1:6">
      <c r="A25" s="57">
        <v>4</v>
      </c>
      <c r="B25" s="24" t="s">
        <v>575</v>
      </c>
      <c r="C25" s="24" t="s">
        <v>575</v>
      </c>
      <c r="D25" s="82" t="s">
        <v>336</v>
      </c>
    </row>
    <row r="28" spans="1:6">
      <c r="A28" t="s">
        <v>59</v>
      </c>
    </row>
    <row r="29" spans="1:6">
      <c r="A29" s="14" t="s">
        <v>114</v>
      </c>
      <c r="B29" s="14" t="s">
        <v>47</v>
      </c>
      <c r="C29" s="14" t="s">
        <v>30</v>
      </c>
      <c r="D29" s="14" t="s">
        <v>31</v>
      </c>
      <c r="E29" s="14" t="s">
        <v>32</v>
      </c>
      <c r="F29" s="14" t="s">
        <v>3</v>
      </c>
    </row>
    <row r="30" spans="1:6">
      <c r="A30" s="15" t="s">
        <v>14</v>
      </c>
      <c r="B30" s="15">
        <v>1</v>
      </c>
      <c r="C30" s="15">
        <v>1</v>
      </c>
      <c r="D30" s="15" t="s">
        <v>43</v>
      </c>
      <c r="E30" s="15"/>
      <c r="F30" s="15"/>
    </row>
    <row r="31" spans="1:6">
      <c r="A31" s="15" t="s">
        <v>15</v>
      </c>
      <c r="B31" s="15">
        <v>1</v>
      </c>
      <c r="C31" s="15">
        <v>1</v>
      </c>
      <c r="D31" s="15" t="s">
        <v>43</v>
      </c>
      <c r="E31" s="15"/>
      <c r="F31" s="15"/>
    </row>
    <row r="32" spans="1:6">
      <c r="A32" s="15" t="s">
        <v>16</v>
      </c>
      <c r="B32" s="15">
        <v>2</v>
      </c>
      <c r="C32" s="15">
        <v>1</v>
      </c>
      <c r="D32" s="15" t="s">
        <v>44</v>
      </c>
      <c r="E32" s="15"/>
      <c r="F32" s="15"/>
    </row>
    <row r="33" spans="1:6">
      <c r="A33" s="15" t="s">
        <v>17</v>
      </c>
      <c r="B33" s="15">
        <v>2</v>
      </c>
      <c r="C33" s="15">
        <v>1</v>
      </c>
      <c r="D33" s="15" t="s">
        <v>44</v>
      </c>
      <c r="E33" s="15"/>
      <c r="F33" s="15"/>
    </row>
    <row r="34" spans="1:6">
      <c r="A34" s="15" t="s">
        <v>18</v>
      </c>
      <c r="B34" s="15">
        <v>0</v>
      </c>
      <c r="C34" s="15">
        <v>0</v>
      </c>
      <c r="D34" s="15"/>
      <c r="E34" s="15"/>
      <c r="F34" s="15"/>
    </row>
    <row r="35" spans="1:6">
      <c r="A35" s="15" t="s">
        <v>19</v>
      </c>
      <c r="B35" s="15">
        <v>0</v>
      </c>
      <c r="C35" s="15">
        <v>0</v>
      </c>
      <c r="D35" s="15"/>
      <c r="E35" s="15"/>
      <c r="F35" s="15"/>
    </row>
    <row r="36" spans="1:6">
      <c r="A36" s="15" t="s">
        <v>20</v>
      </c>
      <c r="B36" s="15">
        <v>3</v>
      </c>
      <c r="C36" s="15">
        <v>2</v>
      </c>
      <c r="D36" s="15" t="s">
        <v>44</v>
      </c>
      <c r="E36" s="15" t="s">
        <v>45</v>
      </c>
      <c r="F36" s="15" t="s">
        <v>46</v>
      </c>
    </row>
    <row r="37" spans="1:6">
      <c r="A37" s="15" t="s">
        <v>50</v>
      </c>
      <c r="B37" s="15">
        <v>3</v>
      </c>
      <c r="C37" s="15">
        <v>2</v>
      </c>
      <c r="D37" s="15"/>
      <c r="E37" s="15"/>
      <c r="F37" s="15"/>
    </row>
    <row r="38" spans="1:6">
      <c r="A38" s="15" t="s">
        <v>21</v>
      </c>
      <c r="B38" s="15">
        <v>0</v>
      </c>
      <c r="C38" s="15">
        <v>0</v>
      </c>
      <c r="D38" s="15"/>
      <c r="E38" s="15"/>
      <c r="F38" s="15"/>
    </row>
    <row r="39" spans="1:6">
      <c r="A39" s="15" t="s">
        <v>22</v>
      </c>
      <c r="B39" s="15">
        <v>0</v>
      </c>
      <c r="C39" s="15">
        <v>0</v>
      </c>
      <c r="D39" s="15"/>
      <c r="E39" s="15"/>
      <c r="F39" s="15"/>
    </row>
    <row r="40" spans="1:6">
      <c r="A40" s="15" t="s">
        <v>23</v>
      </c>
      <c r="B40" s="15">
        <v>0</v>
      </c>
      <c r="C40" s="15">
        <v>0</v>
      </c>
      <c r="D40" s="15"/>
      <c r="E40" s="15"/>
      <c r="F40" s="15"/>
    </row>
    <row r="41" spans="1:6">
      <c r="A41" s="15" t="s">
        <v>35</v>
      </c>
      <c r="B41" s="15">
        <v>2</v>
      </c>
      <c r="C41" s="15">
        <v>1</v>
      </c>
      <c r="D41" s="15" t="s">
        <v>44</v>
      </c>
      <c r="E41" s="15"/>
      <c r="F41" s="15"/>
    </row>
    <row r="42" spans="1:6">
      <c r="A42" s="15" t="s">
        <v>27</v>
      </c>
      <c r="B42" s="15">
        <v>0</v>
      </c>
      <c r="C42" s="15">
        <v>0</v>
      </c>
      <c r="D42" s="15"/>
      <c r="E42" s="15"/>
      <c r="F42" s="15"/>
    </row>
    <row r="43" spans="1:6">
      <c r="A43" s="15" t="s">
        <v>28</v>
      </c>
      <c r="B43" s="15">
        <v>0</v>
      </c>
      <c r="C43" s="15">
        <v>0</v>
      </c>
      <c r="D43" s="15"/>
      <c r="E43" s="15"/>
      <c r="F43" s="15"/>
    </row>
    <row r="44" spans="1:6">
      <c r="A44" s="15" t="s">
        <v>29</v>
      </c>
      <c r="B44" s="15">
        <v>0</v>
      </c>
      <c r="C44" s="15">
        <v>0</v>
      </c>
      <c r="D44" s="15"/>
      <c r="E44" s="15"/>
      <c r="F44" s="15"/>
    </row>
    <row r="45" spans="1:6">
      <c r="A45" s="15" t="s">
        <v>48</v>
      </c>
      <c r="B45" s="15">
        <v>2</v>
      </c>
      <c r="C45" s="15">
        <v>1</v>
      </c>
      <c r="D45" s="15" t="s">
        <v>44</v>
      </c>
      <c r="E45" s="15"/>
      <c r="F45" s="15"/>
    </row>
    <row r="46" spans="1:6">
      <c r="A46" s="15" t="s">
        <v>49</v>
      </c>
      <c r="B46" s="15">
        <v>2</v>
      </c>
      <c r="C46" s="15">
        <v>1</v>
      </c>
      <c r="D46" s="15" t="s">
        <v>44</v>
      </c>
      <c r="E46" s="15"/>
      <c r="F46" s="15"/>
    </row>
    <row r="47" spans="1:6">
      <c r="A47" s="15"/>
      <c r="B47" s="15"/>
      <c r="C47" s="15"/>
      <c r="D47" s="15"/>
      <c r="E47" s="15"/>
      <c r="F47" s="15"/>
    </row>
    <row r="49" spans="1:6">
      <c r="A49" t="s">
        <v>134</v>
      </c>
    </row>
    <row r="50" spans="1:6">
      <c r="A50" s="20" t="s">
        <v>142</v>
      </c>
    </row>
    <row r="51" spans="1:6">
      <c r="A51" t="s">
        <v>24</v>
      </c>
    </row>
    <row r="52" spans="1:6">
      <c r="A52" t="s">
        <v>25</v>
      </c>
    </row>
    <row r="53" spans="1:6">
      <c r="A53" t="s">
        <v>26</v>
      </c>
    </row>
    <row r="54" spans="1:6">
      <c r="A54" t="s">
        <v>135</v>
      </c>
    </row>
    <row r="55" spans="1:6">
      <c r="A55" t="s">
        <v>136</v>
      </c>
    </row>
    <row r="56" spans="1:6">
      <c r="A56" t="s">
        <v>137</v>
      </c>
    </row>
    <row r="59" spans="1:6">
      <c r="A59" t="s">
        <v>60</v>
      </c>
    </row>
    <row r="60" spans="1:6">
      <c r="A60" s="16" t="s">
        <v>114</v>
      </c>
      <c r="B60" s="16" t="s">
        <v>47</v>
      </c>
      <c r="C60" s="16" t="s">
        <v>30</v>
      </c>
      <c r="D60" s="16" t="s">
        <v>31</v>
      </c>
      <c r="E60" s="16" t="s">
        <v>32</v>
      </c>
      <c r="F60" s="16" t="s">
        <v>3</v>
      </c>
    </row>
    <row r="61" spans="1:6">
      <c r="A61" s="17" t="s">
        <v>61</v>
      </c>
      <c r="B61" s="17">
        <v>2</v>
      </c>
      <c r="C61" s="17">
        <v>1</v>
      </c>
      <c r="D61" s="17" t="s">
        <v>44</v>
      </c>
      <c r="E61" s="17"/>
      <c r="F61" s="17"/>
    </row>
    <row r="62" spans="1:6">
      <c r="A62" s="17" t="s">
        <v>63</v>
      </c>
      <c r="B62" s="17">
        <v>2</v>
      </c>
      <c r="C62" s="17">
        <v>1</v>
      </c>
      <c r="D62" s="17" t="s">
        <v>44</v>
      </c>
      <c r="E62" s="17"/>
      <c r="F62" s="17" t="s">
        <v>64</v>
      </c>
    </row>
    <row r="63" spans="1:6">
      <c r="A63" s="17" t="s">
        <v>68</v>
      </c>
      <c r="B63" s="17">
        <v>2</v>
      </c>
      <c r="C63" s="17">
        <v>1</v>
      </c>
      <c r="D63" s="17" t="s">
        <v>44</v>
      </c>
      <c r="E63" s="17"/>
      <c r="F63" s="17"/>
    </row>
    <row r="64" spans="1:6">
      <c r="A64" s="17" t="s">
        <v>66</v>
      </c>
      <c r="B64" s="17">
        <v>2</v>
      </c>
      <c r="C64" s="17">
        <v>1</v>
      </c>
      <c r="D64" s="17" t="s">
        <v>44</v>
      </c>
      <c r="E64" s="17"/>
      <c r="F64" s="17" t="s">
        <v>65</v>
      </c>
    </row>
    <row r="65" spans="1:6">
      <c r="A65" s="17" t="s">
        <v>67</v>
      </c>
      <c r="B65" s="17">
        <v>2</v>
      </c>
      <c r="C65" s="17">
        <v>1</v>
      </c>
      <c r="D65" s="17" t="s">
        <v>44</v>
      </c>
      <c r="E65" s="17"/>
      <c r="F65" s="17" t="s">
        <v>65</v>
      </c>
    </row>
    <row r="66" spans="1:6">
      <c r="A66" s="17" t="s">
        <v>116</v>
      </c>
      <c r="B66" s="17">
        <v>0</v>
      </c>
      <c r="C66" s="17">
        <v>0</v>
      </c>
      <c r="D66" s="17"/>
      <c r="E66" s="17"/>
      <c r="F66" s="17"/>
    </row>
    <row r="67" spans="1:6" ht="14.25" customHeight="1">
      <c r="A67" s="17" t="s">
        <v>115</v>
      </c>
      <c r="B67" s="17">
        <v>0</v>
      </c>
      <c r="C67" s="17">
        <v>0</v>
      </c>
      <c r="D67" s="17"/>
      <c r="E67" s="17"/>
      <c r="F67" s="17" t="s">
        <v>119</v>
      </c>
    </row>
    <row r="68" spans="1:6" ht="12.75" customHeight="1">
      <c r="A68" s="17" t="s">
        <v>118</v>
      </c>
      <c r="B68" s="17">
        <v>0</v>
      </c>
      <c r="C68" s="17">
        <v>0</v>
      </c>
      <c r="D68" s="17"/>
      <c r="E68" s="17"/>
      <c r="F68" s="17"/>
    </row>
    <row r="69" spans="1:6">
      <c r="A69" s="17" t="s">
        <v>117</v>
      </c>
      <c r="B69" s="17">
        <v>0</v>
      </c>
      <c r="C69" s="17">
        <v>0</v>
      </c>
      <c r="D69" s="17"/>
      <c r="E69" s="17"/>
      <c r="F69" s="17" t="s">
        <v>120</v>
      </c>
    </row>
    <row r="70" spans="1:6">
      <c r="A70" s="17" t="s">
        <v>91</v>
      </c>
      <c r="B70" s="17">
        <v>0</v>
      </c>
      <c r="C70" s="17">
        <v>0</v>
      </c>
      <c r="D70" s="17"/>
      <c r="E70" s="17"/>
      <c r="F70" s="17"/>
    </row>
    <row r="71" spans="1:6">
      <c r="A71" s="17" t="s">
        <v>62</v>
      </c>
      <c r="B71" s="17">
        <v>0</v>
      </c>
      <c r="C71" s="17">
        <v>0</v>
      </c>
      <c r="D71" s="17"/>
      <c r="E71" s="17"/>
      <c r="F71" s="17"/>
    </row>
    <row r="72" spans="1:6">
      <c r="A72" s="17" t="s">
        <v>69</v>
      </c>
      <c r="B72" s="17">
        <v>0</v>
      </c>
      <c r="C72" s="17">
        <v>0</v>
      </c>
      <c r="D72" s="17"/>
      <c r="E72" s="17"/>
      <c r="F72" s="17" t="s">
        <v>71</v>
      </c>
    </row>
    <row r="73" spans="1:6">
      <c r="A73" s="17" t="s">
        <v>72</v>
      </c>
      <c r="B73" s="17">
        <v>0</v>
      </c>
      <c r="C73" s="17">
        <v>0</v>
      </c>
      <c r="D73" s="17"/>
      <c r="E73" s="17"/>
      <c r="F73" s="17" t="s">
        <v>71</v>
      </c>
    </row>
    <row r="74" spans="1:6">
      <c r="A74" s="17" t="s">
        <v>73</v>
      </c>
      <c r="B74" s="17">
        <v>0</v>
      </c>
      <c r="C74" s="17">
        <v>0</v>
      </c>
      <c r="D74" s="17"/>
      <c r="E74" s="17"/>
      <c r="F74" s="17"/>
    </row>
    <row r="75" spans="1:6">
      <c r="A75" s="17" t="s">
        <v>70</v>
      </c>
      <c r="B75" s="17">
        <v>0</v>
      </c>
      <c r="C75" s="17">
        <v>0</v>
      </c>
      <c r="D75" s="17"/>
      <c r="E75" s="17"/>
      <c r="F75" s="17" t="s">
        <v>74</v>
      </c>
    </row>
    <row r="76" spans="1:6">
      <c r="A76" s="17" t="s">
        <v>75</v>
      </c>
      <c r="B76" s="17">
        <v>3</v>
      </c>
      <c r="C76" s="17">
        <v>2</v>
      </c>
      <c r="D76" s="17" t="s">
        <v>44</v>
      </c>
      <c r="E76" s="17" t="s">
        <v>45</v>
      </c>
      <c r="F76" s="17"/>
    </row>
    <row r="77" spans="1:6">
      <c r="A77" s="17" t="s">
        <v>76</v>
      </c>
      <c r="B77" s="17">
        <v>3</v>
      </c>
      <c r="C77" s="17">
        <v>2</v>
      </c>
      <c r="D77" s="17" t="s">
        <v>44</v>
      </c>
      <c r="E77" s="17" t="s">
        <v>45</v>
      </c>
      <c r="F77" s="17" t="s">
        <v>77</v>
      </c>
    </row>
    <row r="78" spans="1:6">
      <c r="A78" s="17" t="s">
        <v>78</v>
      </c>
      <c r="B78" s="17">
        <v>0</v>
      </c>
      <c r="C78" s="17">
        <v>0</v>
      </c>
      <c r="D78" s="17"/>
      <c r="E78" s="17"/>
      <c r="F78" s="17"/>
    </row>
    <row r="79" spans="1:6">
      <c r="A79" s="17" t="s">
        <v>79</v>
      </c>
      <c r="B79" s="17">
        <v>0</v>
      </c>
      <c r="C79" s="17">
        <v>0</v>
      </c>
      <c r="D79" s="17"/>
      <c r="E79" s="17"/>
      <c r="F79" s="17" t="s">
        <v>80</v>
      </c>
    </row>
    <row r="80" spans="1:6">
      <c r="A80" s="17" t="s">
        <v>81</v>
      </c>
      <c r="B80" s="17">
        <v>2</v>
      </c>
      <c r="C80" s="17">
        <v>1</v>
      </c>
      <c r="D80" s="17" t="s">
        <v>44</v>
      </c>
      <c r="E80" s="17"/>
      <c r="F80" s="17"/>
    </row>
    <row r="81" spans="1:6">
      <c r="A81" s="17" t="s">
        <v>82</v>
      </c>
      <c r="B81" s="17">
        <v>2</v>
      </c>
      <c r="C81" s="17">
        <v>1</v>
      </c>
      <c r="D81" s="17" t="s">
        <v>44</v>
      </c>
      <c r="E81" s="17"/>
      <c r="F81" s="17"/>
    </row>
    <row r="82" spans="1:6">
      <c r="A82" s="17"/>
      <c r="B82" s="17"/>
      <c r="C82" s="17"/>
      <c r="D82" s="17"/>
      <c r="E82" s="17"/>
      <c r="F82" s="17"/>
    </row>
    <row r="84" spans="1:6">
      <c r="A84" t="s">
        <v>134</v>
      </c>
    </row>
    <row r="85" spans="1:6">
      <c r="A85" s="20" t="s">
        <v>142</v>
      </c>
    </row>
    <row r="86" spans="1:6">
      <c r="A86" t="s">
        <v>83</v>
      </c>
    </row>
    <row r="87" spans="1:6">
      <c r="A87" t="s">
        <v>84</v>
      </c>
    </row>
    <row r="88" spans="1:6">
      <c r="A88" t="s">
        <v>85</v>
      </c>
    </row>
    <row r="89" spans="1:6">
      <c r="A89" t="s">
        <v>86</v>
      </c>
    </row>
    <row r="90" spans="1:6">
      <c r="A90" t="s">
        <v>87</v>
      </c>
    </row>
    <row r="91" spans="1:6">
      <c r="A91" t="s">
        <v>88</v>
      </c>
    </row>
    <row r="92" spans="1:6">
      <c r="A92" t="s">
        <v>89</v>
      </c>
    </row>
    <row r="93" spans="1:6">
      <c r="A93" t="s">
        <v>90</v>
      </c>
    </row>
    <row r="94" spans="1:6">
      <c r="A94" t="s">
        <v>92</v>
      </c>
    </row>
    <row r="95" spans="1:6">
      <c r="A95" t="s">
        <v>93</v>
      </c>
    </row>
    <row r="96" spans="1:6">
      <c r="A96" t="s">
        <v>94</v>
      </c>
    </row>
    <row r="97" spans="1:1">
      <c r="A97" t="s">
        <v>95</v>
      </c>
    </row>
    <row r="98" spans="1:1">
      <c r="A98" t="s">
        <v>96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106</v>
      </c>
    </row>
    <row r="109" spans="1:1">
      <c r="A109" t="s">
        <v>107</v>
      </c>
    </row>
    <row r="110" spans="1:1">
      <c r="A110" t="s">
        <v>108</v>
      </c>
    </row>
    <row r="111" spans="1:1">
      <c r="A111" t="s">
        <v>109</v>
      </c>
    </row>
    <row r="112" spans="1:1">
      <c r="A112" t="s">
        <v>110</v>
      </c>
    </row>
    <row r="113" spans="1:6">
      <c r="A113" t="s">
        <v>111</v>
      </c>
    </row>
    <row r="114" spans="1:6">
      <c r="A114" t="s">
        <v>112</v>
      </c>
    </row>
    <row r="115" spans="1:6">
      <c r="A115" t="s">
        <v>113</v>
      </c>
    </row>
    <row r="116" spans="1:6">
      <c r="A116" t="s">
        <v>138</v>
      </c>
    </row>
    <row r="117" spans="1:6">
      <c r="A117" t="s">
        <v>139</v>
      </c>
    </row>
    <row r="118" spans="1:6">
      <c r="A118" t="s">
        <v>140</v>
      </c>
    </row>
    <row r="119" spans="1:6">
      <c r="A119" t="s">
        <v>141</v>
      </c>
    </row>
    <row r="121" spans="1:6">
      <c r="A121" t="s">
        <v>309</v>
      </c>
      <c r="B121" t="s">
        <v>598</v>
      </c>
    </row>
    <row r="122" spans="1:6">
      <c r="A122" s="23" t="s">
        <v>114</v>
      </c>
      <c r="B122" s="23" t="s">
        <v>47</v>
      </c>
      <c r="C122" s="23" t="s">
        <v>30</v>
      </c>
      <c r="D122" s="23" t="s">
        <v>31</v>
      </c>
      <c r="E122" s="23" t="s">
        <v>32</v>
      </c>
      <c r="F122" s="23" t="s">
        <v>3</v>
      </c>
    </row>
    <row r="123" spans="1:6">
      <c r="A123" s="24" t="s">
        <v>310</v>
      </c>
      <c r="B123" s="24">
        <v>0</v>
      </c>
      <c r="C123" s="24">
        <v>0</v>
      </c>
      <c r="D123" s="24"/>
      <c r="E123" s="24"/>
      <c r="F123" s="24"/>
    </row>
    <row r="124" spans="1:6">
      <c r="A124" s="24" t="s">
        <v>311</v>
      </c>
      <c r="B124" s="24">
        <v>0</v>
      </c>
      <c r="C124" s="24">
        <v>0</v>
      </c>
      <c r="D124" s="24"/>
      <c r="E124" s="24"/>
      <c r="F124" s="24"/>
    </row>
    <row r="125" spans="1:6">
      <c r="A125" s="24" t="s">
        <v>312</v>
      </c>
      <c r="B125" s="24">
        <v>0</v>
      </c>
      <c r="C125" s="24">
        <v>0</v>
      </c>
      <c r="D125" s="24"/>
      <c r="E125" s="24"/>
      <c r="F125" s="24"/>
    </row>
    <row r="126" spans="1:6">
      <c r="A126" s="24" t="s">
        <v>313</v>
      </c>
      <c r="B126" s="24">
        <v>0</v>
      </c>
      <c r="C126" s="24">
        <v>0</v>
      </c>
      <c r="D126" s="24"/>
      <c r="E126" s="24"/>
      <c r="F126" s="24"/>
    </row>
    <row r="127" spans="1:6">
      <c r="A127" s="24" t="s">
        <v>314</v>
      </c>
      <c r="B127" s="24">
        <v>0</v>
      </c>
      <c r="C127" s="24">
        <v>0</v>
      </c>
      <c r="D127" s="24"/>
      <c r="E127" s="24"/>
      <c r="F127" s="24"/>
    </row>
    <row r="128" spans="1:6">
      <c r="A128" s="24" t="s">
        <v>315</v>
      </c>
      <c r="B128" s="24">
        <v>3</v>
      </c>
      <c r="C128" s="24">
        <v>2</v>
      </c>
      <c r="D128" s="24" t="s">
        <v>316</v>
      </c>
      <c r="E128" s="24" t="s">
        <v>45</v>
      </c>
      <c r="F128" s="24"/>
    </row>
    <row r="129" spans="1:6" ht="14.25" customHeight="1">
      <c r="A129" s="24" t="s">
        <v>317</v>
      </c>
      <c r="B129" s="24">
        <v>3</v>
      </c>
      <c r="C129" s="24">
        <v>2</v>
      </c>
      <c r="D129" s="24" t="s">
        <v>316</v>
      </c>
      <c r="E129" s="24" t="s">
        <v>45</v>
      </c>
      <c r="F129" s="24"/>
    </row>
    <row r="130" spans="1:6" ht="12.75" customHeight="1">
      <c r="A130" s="24" t="s">
        <v>318</v>
      </c>
      <c r="B130" s="24">
        <v>0</v>
      </c>
      <c r="C130" s="24">
        <v>0</v>
      </c>
      <c r="D130" s="24"/>
      <c r="E130" s="24"/>
      <c r="F130" s="24"/>
    </row>
    <row r="131" spans="1:6">
      <c r="A131" s="24" t="s">
        <v>319</v>
      </c>
      <c r="B131" s="24">
        <v>0</v>
      </c>
      <c r="C131" s="24">
        <v>0</v>
      </c>
      <c r="D131" s="24"/>
      <c r="E131" s="24"/>
      <c r="F131" s="24"/>
    </row>
    <row r="132" spans="1:6">
      <c r="A132" s="24" t="s">
        <v>320</v>
      </c>
      <c r="B132" s="24">
        <v>2</v>
      </c>
      <c r="C132" s="24">
        <v>1</v>
      </c>
      <c r="D132" s="24" t="s">
        <v>316</v>
      </c>
      <c r="E132" s="24"/>
      <c r="F132" s="24"/>
    </row>
    <row r="133" spans="1:6">
      <c r="A133" s="24" t="s">
        <v>321</v>
      </c>
      <c r="B133" s="24">
        <v>0</v>
      </c>
      <c r="C133" s="24">
        <v>0</v>
      </c>
      <c r="D133" s="24"/>
      <c r="E133" s="24"/>
      <c r="F133" s="24"/>
    </row>
    <row r="134" spans="1:6">
      <c r="A134" s="24" t="s">
        <v>322</v>
      </c>
      <c r="B134" s="24">
        <v>0</v>
      </c>
      <c r="C134" s="24">
        <v>0</v>
      </c>
      <c r="D134" s="24"/>
      <c r="E134" s="24"/>
      <c r="F134" s="24"/>
    </row>
    <row r="135" spans="1:6">
      <c r="A135" s="24" t="s">
        <v>323</v>
      </c>
      <c r="B135" s="24">
        <v>0</v>
      </c>
      <c r="C135" s="24">
        <v>0</v>
      </c>
      <c r="D135" s="24"/>
      <c r="E135" s="24"/>
      <c r="F135" s="24"/>
    </row>
    <row r="136" spans="1:6">
      <c r="A136" s="24" t="s">
        <v>324</v>
      </c>
      <c r="B136" s="24">
        <v>2</v>
      </c>
      <c r="C136" s="24">
        <v>1</v>
      </c>
      <c r="D136" s="24" t="s">
        <v>316</v>
      </c>
      <c r="E136" s="24"/>
      <c r="F136" s="24"/>
    </row>
    <row r="137" spans="1:6">
      <c r="A137" s="24" t="s">
        <v>325</v>
      </c>
      <c r="B137" s="24">
        <v>2</v>
      </c>
      <c r="C137" s="24">
        <v>1</v>
      </c>
      <c r="D137" s="24" t="s">
        <v>316</v>
      </c>
      <c r="E137" s="24"/>
      <c r="F137" s="24"/>
    </row>
    <row r="138" spans="1:6">
      <c r="A138" s="24" t="s">
        <v>326</v>
      </c>
      <c r="B138" s="24">
        <v>0</v>
      </c>
      <c r="C138" s="24">
        <v>0</v>
      </c>
      <c r="D138" s="24"/>
      <c r="E138" s="24"/>
      <c r="F138" s="24"/>
    </row>
    <row r="139" spans="1:6">
      <c r="A139" s="24" t="s">
        <v>327</v>
      </c>
      <c r="B139" s="24">
        <v>2</v>
      </c>
      <c r="C139" s="24">
        <v>1</v>
      </c>
      <c r="D139" s="24" t="s">
        <v>316</v>
      </c>
      <c r="E139" s="24"/>
      <c r="F139" s="24"/>
    </row>
    <row r="140" spans="1:6">
      <c r="A140" s="24" t="s">
        <v>328</v>
      </c>
      <c r="B140" s="24">
        <v>2</v>
      </c>
      <c r="C140" s="24">
        <v>1</v>
      </c>
      <c r="D140" s="24" t="s">
        <v>316</v>
      </c>
      <c r="E140" s="24"/>
      <c r="F140" s="24"/>
    </row>
    <row r="141" spans="1:6">
      <c r="A141" s="24" t="s">
        <v>329</v>
      </c>
      <c r="B141" s="24">
        <v>0</v>
      </c>
      <c r="C141" s="24">
        <v>0</v>
      </c>
      <c r="D141" s="24"/>
      <c r="E141" s="24"/>
      <c r="F141" s="24"/>
    </row>
    <row r="142" spans="1:6">
      <c r="A142" s="24" t="s">
        <v>330</v>
      </c>
      <c r="B142" s="24">
        <v>2</v>
      </c>
      <c r="C142" s="24">
        <v>1</v>
      </c>
      <c r="D142" s="24" t="s">
        <v>316</v>
      </c>
      <c r="E142" s="24"/>
      <c r="F142" s="24"/>
    </row>
    <row r="143" spans="1:6">
      <c r="A143" s="24" t="s">
        <v>331</v>
      </c>
      <c r="B143" s="24">
        <v>2</v>
      </c>
      <c r="C143" s="24">
        <v>1</v>
      </c>
      <c r="D143" s="24" t="s">
        <v>316</v>
      </c>
      <c r="E143" s="24"/>
      <c r="F143" s="24"/>
    </row>
    <row r="144" spans="1:6">
      <c r="A144" s="24" t="s">
        <v>332</v>
      </c>
      <c r="B144" s="24">
        <v>0</v>
      </c>
      <c r="C144" s="24">
        <v>0</v>
      </c>
      <c r="D144" s="24"/>
      <c r="E144" s="24"/>
      <c r="F144" s="24"/>
    </row>
    <row r="145" spans="1:6">
      <c r="A145" s="24" t="s">
        <v>333</v>
      </c>
      <c r="B145" s="24">
        <v>0</v>
      </c>
      <c r="C145" s="24">
        <v>0</v>
      </c>
      <c r="D145" s="24"/>
      <c r="E145" s="24"/>
      <c r="F145" s="24"/>
    </row>
    <row r="146" spans="1:6">
      <c r="A146" s="24" t="s">
        <v>334</v>
      </c>
      <c r="B146" s="24">
        <v>0</v>
      </c>
      <c r="C146" s="24">
        <v>0</v>
      </c>
      <c r="D146" s="24"/>
      <c r="E146" s="24"/>
      <c r="F146" s="24"/>
    </row>
    <row r="147" spans="1:6">
      <c r="A147" s="24" t="s">
        <v>335</v>
      </c>
      <c r="B147" s="24">
        <v>0</v>
      </c>
      <c r="C147" s="24">
        <v>0</v>
      </c>
      <c r="D147" s="24"/>
      <c r="E147" s="24"/>
      <c r="F147" s="24"/>
    </row>
    <row r="148" spans="1:6">
      <c r="A148" s="24"/>
      <c r="B148" s="24"/>
      <c r="C148" s="24"/>
      <c r="D148" s="24"/>
      <c r="E148" s="24"/>
      <c r="F148" s="24"/>
    </row>
    <row r="151" spans="1:6">
      <c r="A151" t="s">
        <v>584</v>
      </c>
    </row>
    <row r="152" spans="1:6">
      <c r="A152" s="16" t="s">
        <v>114</v>
      </c>
      <c r="B152" s="16" t="s">
        <v>47</v>
      </c>
      <c r="C152" s="16" t="s">
        <v>30</v>
      </c>
      <c r="D152" s="16" t="s">
        <v>31</v>
      </c>
      <c r="E152" s="16" t="s">
        <v>32</v>
      </c>
      <c r="F152" s="16" t="s">
        <v>3</v>
      </c>
    </row>
    <row r="153" spans="1:6">
      <c r="A153" s="17" t="s">
        <v>61</v>
      </c>
      <c r="B153" s="17">
        <v>2</v>
      </c>
      <c r="C153" s="17">
        <v>1</v>
      </c>
      <c r="D153" s="17" t="s">
        <v>44</v>
      </c>
      <c r="E153" s="17"/>
      <c r="F153" s="17"/>
    </row>
    <row r="154" spans="1:6">
      <c r="A154" s="17" t="s">
        <v>16</v>
      </c>
      <c r="B154" s="17">
        <v>2</v>
      </c>
      <c r="C154" s="17">
        <v>1</v>
      </c>
      <c r="D154" s="17" t="s">
        <v>44</v>
      </c>
      <c r="E154" s="17"/>
      <c r="F154" s="17" t="s">
        <v>588</v>
      </c>
    </row>
    <row r="155" spans="1:6">
      <c r="A155" s="17" t="s">
        <v>587</v>
      </c>
      <c r="B155" s="17">
        <v>2</v>
      </c>
      <c r="C155" s="17">
        <v>1</v>
      </c>
      <c r="D155" s="17" t="s">
        <v>44</v>
      </c>
      <c r="E155" s="17"/>
      <c r="F155" s="17" t="s">
        <v>588</v>
      </c>
    </row>
    <row r="156" spans="1:6">
      <c r="A156" s="17" t="s">
        <v>72</v>
      </c>
      <c r="B156" s="17">
        <v>0</v>
      </c>
      <c r="C156" s="17">
        <v>0</v>
      </c>
      <c r="D156" s="17"/>
      <c r="E156" s="17"/>
      <c r="F156" s="17" t="s">
        <v>589</v>
      </c>
    </row>
    <row r="157" spans="1:6">
      <c r="A157" s="17" t="s">
        <v>62</v>
      </c>
      <c r="B157" s="17">
        <v>0</v>
      </c>
      <c r="C157" s="17">
        <v>0</v>
      </c>
      <c r="D157" s="17"/>
      <c r="E157" s="17"/>
      <c r="F157" s="17" t="s">
        <v>589</v>
      </c>
    </row>
    <row r="158" spans="1:6">
      <c r="A158" s="17" t="s">
        <v>312</v>
      </c>
      <c r="B158" s="17">
        <v>0</v>
      </c>
      <c r="C158" s="17">
        <v>0</v>
      </c>
      <c r="D158" s="17"/>
      <c r="E158" s="17"/>
      <c r="F158" s="17" t="s">
        <v>589</v>
      </c>
    </row>
    <row r="159" spans="1:6">
      <c r="A159" s="17" t="s">
        <v>313</v>
      </c>
      <c r="B159" s="17">
        <v>0</v>
      </c>
      <c r="C159" s="17">
        <v>0</v>
      </c>
      <c r="D159" s="17"/>
      <c r="E159" s="17"/>
      <c r="F159" s="17" t="s">
        <v>589</v>
      </c>
    </row>
    <row r="160" spans="1:6">
      <c r="A160" s="17" t="s">
        <v>76</v>
      </c>
      <c r="B160" s="17">
        <v>3</v>
      </c>
      <c r="C160" s="17">
        <v>2</v>
      </c>
      <c r="D160" s="17" t="s">
        <v>44</v>
      </c>
      <c r="E160" s="17" t="s">
        <v>45</v>
      </c>
      <c r="F160" s="17"/>
    </row>
    <row r="161" spans="1:6">
      <c r="A161" s="17" t="s">
        <v>75</v>
      </c>
      <c r="B161" s="17">
        <v>3</v>
      </c>
      <c r="C161" s="17">
        <v>2</v>
      </c>
      <c r="D161" s="17" t="s">
        <v>44</v>
      </c>
      <c r="E161" s="17" t="s">
        <v>45</v>
      </c>
      <c r="F161" s="17" t="s">
        <v>590</v>
      </c>
    </row>
    <row r="162" spans="1:6">
      <c r="A162" s="17" t="s">
        <v>78</v>
      </c>
      <c r="B162" s="17">
        <v>0</v>
      </c>
      <c r="C162" s="17">
        <v>0</v>
      </c>
      <c r="D162" s="17"/>
      <c r="E162" s="17"/>
      <c r="F162" s="17" t="s">
        <v>590</v>
      </c>
    </row>
    <row r="163" spans="1:6">
      <c r="A163" s="17" t="s">
        <v>49</v>
      </c>
      <c r="B163" s="17">
        <v>0</v>
      </c>
      <c r="C163" s="17">
        <v>0</v>
      </c>
      <c r="D163" s="17"/>
      <c r="E163" s="17"/>
      <c r="F163" s="17" t="s">
        <v>591</v>
      </c>
    </row>
    <row r="164" spans="1:6">
      <c r="A164" s="17" t="s">
        <v>585</v>
      </c>
      <c r="B164" s="17">
        <v>0</v>
      </c>
      <c r="C164" s="17">
        <v>0</v>
      </c>
      <c r="D164" s="17"/>
      <c r="E164" s="17"/>
      <c r="F164" s="17" t="s">
        <v>591</v>
      </c>
    </row>
    <row r="165" spans="1:6">
      <c r="A165" s="17" t="s">
        <v>23</v>
      </c>
      <c r="B165" s="17">
        <v>0</v>
      </c>
      <c r="C165" s="17">
        <v>0</v>
      </c>
      <c r="D165" s="17"/>
      <c r="E165" s="17"/>
      <c r="F165" s="17"/>
    </row>
    <row r="166" spans="1:6">
      <c r="A166" s="17" t="s">
        <v>81</v>
      </c>
      <c r="B166" s="17">
        <v>2</v>
      </c>
      <c r="C166" s="17">
        <v>1</v>
      </c>
      <c r="D166" s="17" t="s">
        <v>44</v>
      </c>
      <c r="E166" s="17"/>
      <c r="F166" s="17" t="s">
        <v>592</v>
      </c>
    </row>
    <row r="167" spans="1:6">
      <c r="A167" s="17" t="s">
        <v>24</v>
      </c>
      <c r="B167" s="17">
        <v>2</v>
      </c>
      <c r="C167" s="17">
        <v>1</v>
      </c>
      <c r="D167" s="17" t="s">
        <v>44</v>
      </c>
      <c r="E167" s="17"/>
      <c r="F167" s="17" t="s">
        <v>592</v>
      </c>
    </row>
    <row r="168" spans="1:6">
      <c r="A168" s="17" t="s">
        <v>586</v>
      </c>
      <c r="B168" s="17">
        <v>2</v>
      </c>
      <c r="C168" s="17">
        <v>1</v>
      </c>
      <c r="D168" s="17" t="s">
        <v>44</v>
      </c>
      <c r="E168" s="17"/>
      <c r="F168" s="17" t="s">
        <v>592</v>
      </c>
    </row>
    <row r="169" spans="1:6">
      <c r="A169" s="17"/>
      <c r="B169" s="17"/>
      <c r="C169" s="17"/>
      <c r="D169" s="17"/>
      <c r="E169" s="17"/>
      <c r="F169" s="1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T_Oracle"/>
  <dimension ref="A1:B175"/>
  <sheetViews>
    <sheetView workbookViewId="0">
      <selection activeCell="A30" sqref="A3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534</v>
      </c>
    </row>
    <row r="2" spans="1:1">
      <c r="A2" s="4" t="s">
        <v>7</v>
      </c>
    </row>
    <row r="3" spans="1:1">
      <c r="A3" s="5" t="s">
        <v>121</v>
      </c>
    </row>
    <row r="4" spans="1:1">
      <c r="A4" s="5" t="s">
        <v>123</v>
      </c>
    </row>
    <row r="5" spans="1:1">
      <c r="A5" s="5" t="s">
        <v>41</v>
      </c>
    </row>
    <row r="6" spans="1:1">
      <c r="A6" s="5" t="s">
        <v>42</v>
      </c>
    </row>
    <row r="7" spans="1:1">
      <c r="A7" s="4" t="s">
        <v>8</v>
      </c>
    </row>
    <row r="8" spans="1:1">
      <c r="A8" s="5" t="s">
        <v>12</v>
      </c>
    </row>
    <row r="9" spans="1:1">
      <c r="A9" s="4" t="s">
        <v>7</v>
      </c>
    </row>
    <row r="11" spans="1:1">
      <c r="A11" s="4" t="s">
        <v>602</v>
      </c>
    </row>
    <row r="12" spans="1:1">
      <c r="A12" s="4" t="s">
        <v>9</v>
      </c>
    </row>
    <row r="13" spans="1:1">
      <c r="A13" s="5" t="s">
        <v>250</v>
      </c>
    </row>
    <row r="14" spans="1:1">
      <c r="A14" s="4" t="s">
        <v>9</v>
      </c>
    </row>
    <row r="15" spans="1:1">
      <c r="A15" s="4" t="s">
        <v>262</v>
      </c>
    </row>
    <row r="16" spans="1:1">
      <c r="A16" s="4" t="s">
        <v>263</v>
      </c>
    </row>
    <row r="17" spans="1:1">
      <c r="A17" s="4" t="s">
        <v>603</v>
      </c>
    </row>
    <row r="19" spans="1:1">
      <c r="A19" s="4" t="s">
        <v>9</v>
      </c>
    </row>
    <row r="20" spans="1:1">
      <c r="A20" s="5" t="s">
        <v>51</v>
      </c>
    </row>
    <row r="21" spans="1:1">
      <c r="A21" s="4" t="s">
        <v>9</v>
      </c>
    </row>
    <row r="22" spans="1:1">
      <c r="A22" s="4" t="s">
        <v>264</v>
      </c>
    </row>
    <row r="23" spans="1:1">
      <c r="A23" s="4" t="s">
        <v>39</v>
      </c>
    </row>
    <row r="25" spans="1:1">
      <c r="A25" s="4" t="s">
        <v>604</v>
      </c>
    </row>
    <row r="26" spans="1:1">
      <c r="A26" s="4" t="s">
        <v>9</v>
      </c>
    </row>
    <row r="27" spans="1:1">
      <c r="A27" s="5" t="s">
        <v>259</v>
      </c>
    </row>
    <row r="28" spans="1:1">
      <c r="A28" s="4" t="s">
        <v>9</v>
      </c>
    </row>
    <row r="29" spans="1:1">
      <c r="A29" s="4" t="s">
        <v>251</v>
      </c>
    </row>
    <row r="30" spans="1:1">
      <c r="A30" s="4" t="s">
        <v>237</v>
      </c>
    </row>
    <row r="31" spans="1:1">
      <c r="A31" s="4" t="s">
        <v>248</v>
      </c>
    </row>
    <row r="32" spans="1:1">
      <c r="A32" s="4" t="s">
        <v>249</v>
      </c>
    </row>
    <row r="33" spans="1:1">
      <c r="A33" s="4" t="s">
        <v>246</v>
      </c>
    </row>
    <row r="34" spans="1:1">
      <c r="A34" s="4" t="s">
        <v>238</v>
      </c>
    </row>
    <row r="35" spans="1:1">
      <c r="A35" s="4" t="s">
        <v>535</v>
      </c>
    </row>
    <row r="36" spans="1:1">
      <c r="A36" s="4" t="s">
        <v>239</v>
      </c>
    </row>
    <row r="37" spans="1:1">
      <c r="A37" s="4" t="s">
        <v>240</v>
      </c>
    </row>
    <row r="38" spans="1:1">
      <c r="A38" s="4" t="s">
        <v>241</v>
      </c>
    </row>
    <row r="39" spans="1:1">
      <c r="A39" s="4" t="s">
        <v>242</v>
      </c>
    </row>
    <row r="40" spans="1:1">
      <c r="A40" s="4" t="s">
        <v>243</v>
      </c>
    </row>
    <row r="41" spans="1:1">
      <c r="A41" s="4" t="s">
        <v>244</v>
      </c>
    </row>
    <row r="42" spans="1:1">
      <c r="A42" s="4" t="s">
        <v>245</v>
      </c>
    </row>
    <row r="43" spans="1:1">
      <c r="A43" s="4" t="s">
        <v>247</v>
      </c>
    </row>
    <row r="44" spans="1:1">
      <c r="A44" s="4" t="s">
        <v>205</v>
      </c>
    </row>
    <row r="45" spans="1:1">
      <c r="A45" s="4" t="s">
        <v>605</v>
      </c>
    </row>
    <row r="47" spans="1:1">
      <c r="A47" s="4" t="s">
        <v>184</v>
      </c>
    </row>
    <row r="48" spans="1:1">
      <c r="A48" s="4" t="s">
        <v>599</v>
      </c>
    </row>
    <row r="49" spans="1:1">
      <c r="A49" s="4" t="s">
        <v>9</v>
      </c>
    </row>
    <row r="50" spans="1:1">
      <c r="A50" s="5" t="s">
        <v>10</v>
      </c>
    </row>
    <row r="51" spans="1:1">
      <c r="A51" s="4" t="s">
        <v>9</v>
      </c>
    </row>
    <row r="52" spans="1:1" s="85" customFormat="1">
      <c r="A52" s="85" t="s">
        <v>265</v>
      </c>
    </row>
    <row r="53" spans="1:1">
      <c r="A53" s="4" t="s">
        <v>33</v>
      </c>
    </row>
    <row r="54" spans="1:1">
      <c r="A54" s="4" t="s">
        <v>600</v>
      </c>
    </row>
    <row r="56" spans="1:1" s="85" customFormat="1">
      <c r="A56" s="85" t="s">
        <v>607</v>
      </c>
    </row>
    <row r="57" spans="1:1" s="85" customFormat="1">
      <c r="A57" s="85" t="s">
        <v>9</v>
      </c>
    </row>
    <row r="58" spans="1:1" s="85" customFormat="1">
      <c r="A58" s="5" t="s">
        <v>609</v>
      </c>
    </row>
    <row r="59" spans="1:1" s="85" customFormat="1">
      <c r="A59" s="85" t="s">
        <v>9</v>
      </c>
    </row>
    <row r="60" spans="1:1" s="85" customFormat="1">
      <c r="A60" s="85" t="s">
        <v>610</v>
      </c>
    </row>
    <row r="61" spans="1:1" s="85" customFormat="1">
      <c r="A61" s="85" t="s">
        <v>608</v>
      </c>
    </row>
    <row r="62" spans="1:1" s="85" customFormat="1"/>
    <row r="63" spans="1:1">
      <c r="A63" s="4" t="s">
        <v>9</v>
      </c>
    </row>
    <row r="64" spans="1:1">
      <c r="A64" s="5" t="s">
        <v>11</v>
      </c>
    </row>
    <row r="65" spans="1:1">
      <c r="A65" s="4" t="s">
        <v>9</v>
      </c>
    </row>
    <row r="66" spans="1:1">
      <c r="A66" s="4" t="s">
        <v>34</v>
      </c>
    </row>
    <row r="68" spans="1:1">
      <c r="A68" s="4" t="s">
        <v>400</v>
      </c>
    </row>
    <row r="69" spans="1:1">
      <c r="A69" s="4" t="s">
        <v>9</v>
      </c>
    </row>
    <row r="70" spans="1:1">
      <c r="A70" s="5" t="s">
        <v>215</v>
      </c>
    </row>
    <row r="71" spans="1:1">
      <c r="A71" s="4" t="s">
        <v>9</v>
      </c>
    </row>
    <row r="72" spans="1:1">
      <c r="A72" s="4" t="s">
        <v>290</v>
      </c>
    </row>
    <row r="73" spans="1:1">
      <c r="A73" s="4" t="s">
        <v>296</v>
      </c>
    </row>
    <row r="74" spans="1:1">
      <c r="A74" s="4" t="s">
        <v>216</v>
      </c>
    </row>
    <row r="75" spans="1:1">
      <c r="A75" s="4" t="s">
        <v>208</v>
      </c>
    </row>
    <row r="76" spans="1:1">
      <c r="A76" s="4" t="s">
        <v>210</v>
      </c>
    </row>
    <row r="77" spans="1:1">
      <c r="A77" s="4" t="s">
        <v>252</v>
      </c>
    </row>
    <row r="78" spans="1:1">
      <c r="A78" s="4" t="s">
        <v>211</v>
      </c>
    </row>
    <row r="79" spans="1:1">
      <c r="A79" s="4" t="s">
        <v>253</v>
      </c>
    </row>
    <row r="80" spans="1:1">
      <c r="A80" s="4" t="s">
        <v>213</v>
      </c>
    </row>
    <row r="81" spans="1:2">
      <c r="A81" s="5" t="s">
        <v>209</v>
      </c>
    </row>
    <row r="82" spans="1:2">
      <c r="A82" s="4" t="s">
        <v>205</v>
      </c>
    </row>
    <row r="83" spans="1:2">
      <c r="A83" s="4" t="s">
        <v>217</v>
      </c>
    </row>
    <row r="85" spans="1:2">
      <c r="A85" s="4" t="s">
        <v>180</v>
      </c>
    </row>
    <row r="86" spans="1:2">
      <c r="A86" s="4" t="s">
        <v>9</v>
      </c>
    </row>
    <row r="87" spans="1:2">
      <c r="A87" s="5" t="s">
        <v>291</v>
      </c>
      <c r="B87" s="5"/>
    </row>
    <row r="88" spans="1:2">
      <c r="A88" s="4" t="s">
        <v>9</v>
      </c>
    </row>
    <row r="89" spans="1:2">
      <c r="A89" s="4" t="s">
        <v>266</v>
      </c>
    </row>
    <row r="90" spans="1:2">
      <c r="A90" s="4" t="s">
        <v>267</v>
      </c>
    </row>
    <row r="91" spans="1:2">
      <c r="A91" s="4" t="s">
        <v>303</v>
      </c>
    </row>
    <row r="92" spans="1:2">
      <c r="A92" s="4" t="s">
        <v>268</v>
      </c>
    </row>
    <row r="93" spans="1:2">
      <c r="A93" s="4" t="s">
        <v>269</v>
      </c>
    </row>
    <row r="94" spans="1:2">
      <c r="A94" s="4" t="s">
        <v>270</v>
      </c>
    </row>
    <row r="95" spans="1:2">
      <c r="A95" s="4" t="s">
        <v>271</v>
      </c>
    </row>
    <row r="96" spans="1:2">
      <c r="A96" s="4" t="s">
        <v>272</v>
      </c>
    </row>
    <row r="97" spans="1:1">
      <c r="A97" s="4" t="s">
        <v>278</v>
      </c>
    </row>
    <row r="98" spans="1:1">
      <c r="A98" s="4" t="s">
        <v>254</v>
      </c>
    </row>
    <row r="99" spans="1:1">
      <c r="A99" s="4" t="s">
        <v>206</v>
      </c>
    </row>
    <row r="100" spans="1:1">
      <c r="A100" s="4" t="s">
        <v>9</v>
      </c>
    </row>
    <row r="101" spans="1:1">
      <c r="A101" s="5" t="s">
        <v>179</v>
      </c>
    </row>
    <row r="102" spans="1:1">
      <c r="A102" s="4" t="s">
        <v>9</v>
      </c>
    </row>
    <row r="103" spans="1:1">
      <c r="A103" s="4" t="s">
        <v>292</v>
      </c>
    </row>
    <row r="104" spans="1:1">
      <c r="A104" s="4" t="s">
        <v>297</v>
      </c>
    </row>
    <row r="105" spans="1:1">
      <c r="A105" s="4" t="s">
        <v>143</v>
      </c>
    </row>
    <row r="106" spans="1:1">
      <c r="A106" s="4" t="s">
        <v>182</v>
      </c>
    </row>
    <row r="107" spans="1:1">
      <c r="A107" s="4" t="s">
        <v>191</v>
      </c>
    </row>
    <row r="108" spans="1:1">
      <c r="A108" s="4" t="s">
        <v>298</v>
      </c>
    </row>
    <row r="109" spans="1:1">
      <c r="A109" s="4" t="s">
        <v>304</v>
      </c>
    </row>
    <row r="110" spans="1:1">
      <c r="A110" s="4" t="s">
        <v>273</v>
      </c>
    </row>
    <row r="111" spans="1:1">
      <c r="A111" s="4" t="s">
        <v>274</v>
      </c>
    </row>
    <row r="112" spans="1:1">
      <c r="A112" s="4" t="s">
        <v>275</v>
      </c>
    </row>
    <row r="113" spans="1:2">
      <c r="A113" s="4" t="s">
        <v>276</v>
      </c>
    </row>
    <row r="114" spans="1:2">
      <c r="A114" s="4" t="s">
        <v>277</v>
      </c>
      <c r="B114" s="4" t="s">
        <v>184</v>
      </c>
    </row>
    <row r="115" spans="1:2">
      <c r="A115" s="4" t="s">
        <v>279</v>
      </c>
    </row>
    <row r="116" spans="1:2">
      <c r="A116" s="4" t="s">
        <v>255</v>
      </c>
    </row>
    <row r="117" spans="1:2">
      <c r="A117" s="4" t="s">
        <v>195</v>
      </c>
    </row>
    <row r="118" spans="1:2">
      <c r="A118" s="4" t="s">
        <v>185</v>
      </c>
    </row>
    <row r="119" spans="1:2">
      <c r="A119" s="4" t="s">
        <v>186</v>
      </c>
    </row>
    <row r="120" spans="1:2">
      <c r="A120" s="4" t="s">
        <v>187</v>
      </c>
    </row>
    <row r="121" spans="1:2">
      <c r="A121" s="4" t="s">
        <v>188</v>
      </c>
    </row>
    <row r="122" spans="1:2">
      <c r="A122" s="4" t="s">
        <v>189</v>
      </c>
    </row>
    <row r="123" spans="1:2">
      <c r="A123" s="4" t="s">
        <v>190</v>
      </c>
    </row>
    <row r="124" spans="1:2">
      <c r="A124" s="4" t="s">
        <v>196</v>
      </c>
    </row>
    <row r="125" spans="1:2">
      <c r="A125" s="4" t="s">
        <v>256</v>
      </c>
    </row>
    <row r="126" spans="1:2">
      <c r="A126" s="4" t="s">
        <v>257</v>
      </c>
    </row>
    <row r="127" spans="1:2">
      <c r="A127" s="4" t="s">
        <v>197</v>
      </c>
    </row>
    <row r="128" spans="1:2">
      <c r="A128" s="4" t="s">
        <v>192</v>
      </c>
    </row>
    <row r="129" spans="1:2">
      <c r="A129" s="4" t="s">
        <v>298</v>
      </c>
    </row>
    <row r="130" spans="1:2">
      <c r="A130" s="4" t="s">
        <v>304</v>
      </c>
    </row>
    <row r="131" spans="1:2">
      <c r="A131" s="4" t="s">
        <v>273</v>
      </c>
    </row>
    <row r="132" spans="1:2">
      <c r="A132" s="4" t="s">
        <v>274</v>
      </c>
    </row>
    <row r="133" spans="1:2">
      <c r="A133" s="4" t="s">
        <v>275</v>
      </c>
    </row>
    <row r="134" spans="1:2">
      <c r="A134" s="4" t="s">
        <v>276</v>
      </c>
    </row>
    <row r="135" spans="1:2">
      <c r="A135" s="4" t="s">
        <v>277</v>
      </c>
      <c r="B135" s="4" t="s">
        <v>184</v>
      </c>
    </row>
    <row r="136" spans="1:2">
      <c r="A136" s="4" t="s">
        <v>279</v>
      </c>
    </row>
    <row r="137" spans="1:2">
      <c r="A137" s="4" t="s">
        <v>302</v>
      </c>
    </row>
    <row r="138" spans="1:2">
      <c r="A138" s="4" t="s">
        <v>195</v>
      </c>
    </row>
    <row r="139" spans="1:2">
      <c r="A139" s="4" t="s">
        <v>185</v>
      </c>
    </row>
    <row r="140" spans="1:2">
      <c r="A140" s="4" t="s">
        <v>186</v>
      </c>
    </row>
    <row r="141" spans="1:2">
      <c r="A141" s="4" t="s">
        <v>187</v>
      </c>
    </row>
    <row r="142" spans="1:2">
      <c r="A142" s="4" t="s">
        <v>188</v>
      </c>
    </row>
    <row r="143" spans="1:2">
      <c r="A143" s="4" t="s">
        <v>189</v>
      </c>
    </row>
    <row r="144" spans="1:2">
      <c r="A144" s="4" t="s">
        <v>190</v>
      </c>
    </row>
    <row r="145" spans="1:2">
      <c r="A145" s="4" t="s">
        <v>198</v>
      </c>
    </row>
    <row r="146" spans="1:2">
      <c r="A146" s="4" t="s">
        <v>258</v>
      </c>
    </row>
    <row r="147" spans="1:2">
      <c r="A147" s="4" t="s">
        <v>257</v>
      </c>
    </row>
    <row r="148" spans="1:2">
      <c r="A148" s="4" t="s">
        <v>197</v>
      </c>
    </row>
    <row r="149" spans="1:2">
      <c r="A149" s="4" t="s">
        <v>193</v>
      </c>
    </row>
    <row r="150" spans="1:2">
      <c r="A150" s="4" t="s">
        <v>298</v>
      </c>
    </row>
    <row r="151" spans="1:2">
      <c r="A151" s="4" t="s">
        <v>304</v>
      </c>
    </row>
    <row r="152" spans="1:2">
      <c r="A152" s="4" t="s">
        <v>273</v>
      </c>
    </row>
    <row r="153" spans="1:2">
      <c r="A153" s="4" t="s">
        <v>274</v>
      </c>
    </row>
    <row r="154" spans="1:2">
      <c r="A154" s="4" t="s">
        <v>275</v>
      </c>
    </row>
    <row r="155" spans="1:2">
      <c r="A155" s="4" t="s">
        <v>276</v>
      </c>
    </row>
    <row r="156" spans="1:2">
      <c r="A156" s="4" t="s">
        <v>277</v>
      </c>
      <c r="B156" s="4" t="s">
        <v>184</v>
      </c>
    </row>
    <row r="157" spans="1:2">
      <c r="A157" s="4" t="s">
        <v>279</v>
      </c>
    </row>
    <row r="158" spans="1:2">
      <c r="A158" s="4" t="s">
        <v>203</v>
      </c>
    </row>
    <row r="159" spans="1:2">
      <c r="A159" s="4" t="s">
        <v>195</v>
      </c>
    </row>
    <row r="160" spans="1:2">
      <c r="A160" s="4" t="s">
        <v>185</v>
      </c>
    </row>
    <row r="161" spans="1:1">
      <c r="A161" s="4" t="s">
        <v>186</v>
      </c>
    </row>
    <row r="162" spans="1:1">
      <c r="A162" s="4" t="s">
        <v>187</v>
      </c>
    </row>
    <row r="163" spans="1:1">
      <c r="A163" s="4" t="s">
        <v>188</v>
      </c>
    </row>
    <row r="164" spans="1:1">
      <c r="A164" s="4" t="s">
        <v>189</v>
      </c>
    </row>
    <row r="165" spans="1:1">
      <c r="A165" s="4" t="s">
        <v>190</v>
      </c>
    </row>
    <row r="166" spans="1:1">
      <c r="A166" s="4" t="s">
        <v>199</v>
      </c>
    </row>
    <row r="167" spans="1:1">
      <c r="A167" s="4" t="s">
        <v>200</v>
      </c>
    </row>
    <row r="168" spans="1:1">
      <c r="A168" s="4" t="s">
        <v>202</v>
      </c>
    </row>
    <row r="169" spans="1:1">
      <c r="A169" s="4" t="s">
        <v>197</v>
      </c>
    </row>
    <row r="170" spans="1:1">
      <c r="A170" s="4" t="s">
        <v>194</v>
      </c>
    </row>
    <row r="171" spans="1:1">
      <c r="A171" s="4" t="s">
        <v>183</v>
      </c>
    </row>
    <row r="172" spans="1:1">
      <c r="A172" s="4" t="s">
        <v>205</v>
      </c>
    </row>
    <row r="173" spans="1:1">
      <c r="A173" s="4" t="s">
        <v>181</v>
      </c>
    </row>
    <row r="175" spans="1:1">
      <c r="A175" s="4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T_PostgreSQL"/>
  <dimension ref="A1:B133"/>
  <sheetViews>
    <sheetView zoomScaleNormal="100" workbookViewId="0">
      <selection activeCell="F4" sqref="F4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7</v>
      </c>
    </row>
    <row r="2" spans="1:1">
      <c r="A2" s="5" t="s">
        <v>40</v>
      </c>
    </row>
    <row r="3" spans="1:1">
      <c r="A3" s="5" t="s">
        <v>122</v>
      </c>
    </row>
    <row r="5" spans="1:1" s="84" customFormat="1">
      <c r="A5" s="84" t="s">
        <v>602</v>
      </c>
    </row>
    <row r="6" spans="1:1">
      <c r="A6" s="4" t="s">
        <v>9</v>
      </c>
    </row>
    <row r="7" spans="1:1">
      <c r="A7" s="5" t="s">
        <v>250</v>
      </c>
    </row>
    <row r="8" spans="1:1">
      <c r="A8" s="4" t="s">
        <v>9</v>
      </c>
    </row>
    <row r="9" spans="1:1">
      <c r="A9" s="4" t="s">
        <v>280</v>
      </c>
    </row>
    <row r="10" spans="1:1">
      <c r="A10" s="4" t="s">
        <v>281</v>
      </c>
    </row>
    <row r="11" spans="1:1" s="84" customFormat="1">
      <c r="A11" s="84" t="s">
        <v>603</v>
      </c>
    </row>
    <row r="13" spans="1:1">
      <c r="A13" s="4" t="s">
        <v>9</v>
      </c>
    </row>
    <row r="14" spans="1:1">
      <c r="A14" s="5" t="s">
        <v>51</v>
      </c>
    </row>
    <row r="15" spans="1:1">
      <c r="A15" s="4" t="s">
        <v>9</v>
      </c>
    </row>
    <row r="16" spans="1:1">
      <c r="A16" s="4" t="s">
        <v>282</v>
      </c>
    </row>
    <row r="17" spans="1:1">
      <c r="A17" s="4" t="s">
        <v>39</v>
      </c>
    </row>
    <row r="19" spans="1:1" s="84" customFormat="1">
      <c r="A19" s="84" t="s">
        <v>599</v>
      </c>
    </row>
    <row r="20" spans="1:1">
      <c r="A20" s="4" t="s">
        <v>9</v>
      </c>
    </row>
    <row r="21" spans="1:1">
      <c r="A21" s="5" t="s">
        <v>10</v>
      </c>
    </row>
    <row r="22" spans="1:1">
      <c r="A22" s="4" t="s">
        <v>9</v>
      </c>
    </row>
    <row r="23" spans="1:1">
      <c r="A23" s="4" t="s">
        <v>265</v>
      </c>
    </row>
    <row r="24" spans="1:1">
      <c r="A24" s="4" t="s">
        <v>33</v>
      </c>
    </row>
    <row r="25" spans="1:1" s="84" customFormat="1">
      <c r="A25" s="84" t="s">
        <v>600</v>
      </c>
    </row>
    <row r="27" spans="1:1">
      <c r="A27" s="4" t="s">
        <v>9</v>
      </c>
    </row>
    <row r="28" spans="1:1">
      <c r="A28" s="5" t="s">
        <v>11</v>
      </c>
    </row>
    <row r="29" spans="1:1">
      <c r="A29" s="4" t="s">
        <v>9</v>
      </c>
    </row>
    <row r="30" spans="1:1">
      <c r="A30" s="4" t="s">
        <v>34</v>
      </c>
    </row>
    <row r="32" spans="1:1">
      <c r="A32" s="4" t="s">
        <v>214</v>
      </c>
    </row>
    <row r="33" spans="1:1">
      <c r="A33" s="4" t="s">
        <v>9</v>
      </c>
    </row>
    <row r="34" spans="1:1">
      <c r="A34" s="5" t="s">
        <v>215</v>
      </c>
    </row>
    <row r="35" spans="1:1">
      <c r="A35" s="4" t="s">
        <v>9</v>
      </c>
    </row>
    <row r="36" spans="1:1">
      <c r="A36" s="4" t="s">
        <v>308</v>
      </c>
    </row>
    <row r="38" spans="1:1">
      <c r="A38" s="4" t="s">
        <v>307</v>
      </c>
    </row>
    <row r="40" spans="1:1">
      <c r="A40" s="4" t="s">
        <v>306</v>
      </c>
    </row>
    <row r="41" spans="1:1">
      <c r="A41" s="4" t="s">
        <v>219</v>
      </c>
    </row>
    <row r="42" spans="1:1">
      <c r="A42" s="4" t="s">
        <v>208</v>
      </c>
    </row>
    <row r="43" spans="1:1">
      <c r="A43" s="4" t="s">
        <v>220</v>
      </c>
    </row>
    <row r="44" spans="1:1">
      <c r="A44" s="4" t="s">
        <v>513</v>
      </c>
    </row>
    <row r="45" spans="1:1">
      <c r="A45" s="4" t="s">
        <v>221</v>
      </c>
    </row>
    <row r="46" spans="1:1">
      <c r="A46" s="4" t="s">
        <v>212</v>
      </c>
    </row>
    <row r="47" spans="1:1">
      <c r="A47" s="4" t="s">
        <v>213</v>
      </c>
    </row>
    <row r="48" spans="1:1">
      <c r="A48" s="4" t="s">
        <v>226</v>
      </c>
    </row>
    <row r="49" spans="1:2">
      <c r="A49" s="5" t="s">
        <v>209</v>
      </c>
    </row>
    <row r="50" spans="1:2">
      <c r="A50" s="4" t="s">
        <v>218</v>
      </c>
    </row>
    <row r="52" spans="1:2">
      <c r="A52" s="4" t="s">
        <v>305</v>
      </c>
    </row>
    <row r="53" spans="1:2">
      <c r="A53" s="4" t="s">
        <v>299</v>
      </c>
    </row>
    <row r="54" spans="1:2">
      <c r="A54" s="4" t="s">
        <v>216</v>
      </c>
    </row>
    <row r="55" spans="1:2">
      <c r="A55" s="4" t="s">
        <v>293</v>
      </c>
    </row>
    <row r="56" spans="1:2">
      <c r="A56" s="4" t="s">
        <v>217</v>
      </c>
    </row>
    <row r="58" spans="1:2">
      <c r="A58" s="4" t="s">
        <v>180</v>
      </c>
    </row>
    <row r="59" spans="1:2">
      <c r="A59" s="4" t="s">
        <v>9</v>
      </c>
    </row>
    <row r="60" spans="1:2">
      <c r="A60" s="5" t="s">
        <v>291</v>
      </c>
      <c r="B60" s="5"/>
    </row>
    <row r="61" spans="1:2">
      <c r="A61" s="4" t="s">
        <v>9</v>
      </c>
    </row>
    <row r="62" spans="1:2">
      <c r="A62" s="4" t="s">
        <v>283</v>
      </c>
    </row>
    <row r="63" spans="1:2">
      <c r="A63" s="4" t="s">
        <v>267</v>
      </c>
    </row>
    <row r="64" spans="1:2">
      <c r="A64" s="4" t="s">
        <v>284</v>
      </c>
    </row>
    <row r="65" spans="1:1">
      <c r="A65" s="4" t="s">
        <v>285</v>
      </c>
    </row>
    <row r="66" spans="1:1">
      <c r="A66" s="4" t="s">
        <v>286</v>
      </c>
    </row>
    <row r="67" spans="1:1">
      <c r="A67" s="4" t="s">
        <v>287</v>
      </c>
    </row>
    <row r="68" spans="1:1">
      <c r="A68" s="4" t="s">
        <v>207</v>
      </c>
    </row>
    <row r="69" spans="1:1">
      <c r="A69" s="4" t="s">
        <v>206</v>
      </c>
    </row>
    <row r="70" spans="1:1">
      <c r="A70" s="4" t="s">
        <v>9</v>
      </c>
    </row>
    <row r="71" spans="1:1">
      <c r="A71" s="5" t="s">
        <v>179</v>
      </c>
    </row>
    <row r="72" spans="1:1">
      <c r="A72" s="4" t="s">
        <v>9</v>
      </c>
    </row>
    <row r="73" spans="1:1">
      <c r="A73" s="4" t="s">
        <v>300</v>
      </c>
    </row>
    <row r="74" spans="1:1">
      <c r="A74" s="4" t="s">
        <v>301</v>
      </c>
    </row>
    <row r="75" spans="1:1">
      <c r="A75" s="4" t="s">
        <v>297</v>
      </c>
    </row>
    <row r="76" spans="1:1">
      <c r="A76" s="4" t="s">
        <v>143</v>
      </c>
    </row>
    <row r="77" spans="1:1">
      <c r="A77" s="4" t="s">
        <v>294</v>
      </c>
    </row>
    <row r="79" spans="1:1">
      <c r="A79" s="4" t="s">
        <v>295</v>
      </c>
    </row>
    <row r="80" spans="1:1">
      <c r="A80" s="4" t="s">
        <v>227</v>
      </c>
    </row>
    <row r="81" spans="1:2">
      <c r="A81" s="4" t="s">
        <v>144</v>
      </c>
    </row>
    <row r="82" spans="1:2">
      <c r="A82" s="4" t="s">
        <v>222</v>
      </c>
    </row>
    <row r="83" spans="1:2">
      <c r="A83" s="4" t="s">
        <v>298</v>
      </c>
    </row>
    <row r="84" spans="1:2">
      <c r="A84" s="4" t="s">
        <v>288</v>
      </c>
    </row>
    <row r="85" spans="1:2">
      <c r="A85" s="4" t="s">
        <v>276</v>
      </c>
    </row>
    <row r="86" spans="1:2">
      <c r="A86" s="4" t="s">
        <v>289</v>
      </c>
      <c r="B86" s="4" t="s">
        <v>184</v>
      </c>
    </row>
    <row r="87" spans="1:2">
      <c r="A87" s="4" t="s">
        <v>279</v>
      </c>
    </row>
    <row r="88" spans="1:2">
      <c r="A88" s="4" t="s">
        <v>203</v>
      </c>
    </row>
    <row r="89" spans="1:2">
      <c r="A89" s="4" t="s">
        <v>195</v>
      </c>
    </row>
    <row r="90" spans="1:2">
      <c r="A90" s="4" t="s">
        <v>233</v>
      </c>
    </row>
    <row r="91" spans="1:2">
      <c r="A91" s="4" t="s">
        <v>232</v>
      </c>
    </row>
    <row r="92" spans="1:2">
      <c r="A92" s="4" t="s">
        <v>234</v>
      </c>
    </row>
    <row r="93" spans="1:2">
      <c r="A93" s="4" t="s">
        <v>196</v>
      </c>
    </row>
    <row r="94" spans="1:2">
      <c r="A94" s="4" t="s">
        <v>202</v>
      </c>
    </row>
    <row r="95" spans="1:2">
      <c r="A95" s="4" t="s">
        <v>201</v>
      </c>
    </row>
    <row r="96" spans="1:2">
      <c r="A96" s="4" t="s">
        <v>197</v>
      </c>
    </row>
    <row r="97" spans="1:2">
      <c r="A97" s="4" t="s">
        <v>223</v>
      </c>
    </row>
    <row r="98" spans="1:2">
      <c r="A98" s="4" t="s">
        <v>298</v>
      </c>
    </row>
    <row r="99" spans="1:2">
      <c r="A99" s="4" t="s">
        <v>288</v>
      </c>
    </row>
    <row r="100" spans="1:2">
      <c r="A100" s="4" t="s">
        <v>276</v>
      </c>
    </row>
    <row r="101" spans="1:2">
      <c r="A101" s="4" t="s">
        <v>289</v>
      </c>
      <c r="B101" s="4" t="s">
        <v>184</v>
      </c>
    </row>
    <row r="102" spans="1:2">
      <c r="A102" s="4" t="s">
        <v>279</v>
      </c>
    </row>
    <row r="103" spans="1:2">
      <c r="A103" s="4" t="s">
        <v>203</v>
      </c>
    </row>
    <row r="104" spans="1:2">
      <c r="A104" s="4" t="s">
        <v>195</v>
      </c>
    </row>
    <row r="105" spans="1:2">
      <c r="A105" s="4" t="s">
        <v>233</v>
      </c>
    </row>
    <row r="106" spans="1:2">
      <c r="A106" s="4" t="s">
        <v>232</v>
      </c>
    </row>
    <row r="107" spans="1:2">
      <c r="A107" s="4" t="s">
        <v>234</v>
      </c>
    </row>
    <row r="108" spans="1:2">
      <c r="A108" s="4" t="s">
        <v>198</v>
      </c>
    </row>
    <row r="109" spans="1:2">
      <c r="A109" s="4" t="s">
        <v>200</v>
      </c>
    </row>
    <row r="110" spans="1:2">
      <c r="A110" s="4" t="s">
        <v>201</v>
      </c>
    </row>
    <row r="111" spans="1:2">
      <c r="A111" s="4" t="s">
        <v>197</v>
      </c>
    </row>
    <row r="112" spans="1:2">
      <c r="A112" s="4" t="s">
        <v>224</v>
      </c>
    </row>
    <row r="113" spans="1:2">
      <c r="A113" s="4" t="s">
        <v>298</v>
      </c>
    </row>
    <row r="114" spans="1:2">
      <c r="A114" s="4" t="s">
        <v>288</v>
      </c>
    </row>
    <row r="115" spans="1:2">
      <c r="A115" s="4" t="s">
        <v>276</v>
      </c>
    </row>
    <row r="116" spans="1:2">
      <c r="A116" s="4" t="s">
        <v>289</v>
      </c>
      <c r="B116" s="4" t="s">
        <v>184</v>
      </c>
    </row>
    <row r="117" spans="1:2">
      <c r="A117" s="4" t="s">
        <v>279</v>
      </c>
    </row>
    <row r="118" spans="1:2">
      <c r="A118" s="4" t="s">
        <v>203</v>
      </c>
    </row>
    <row r="119" spans="1:2">
      <c r="A119" s="4" t="s">
        <v>195</v>
      </c>
    </row>
    <row r="120" spans="1:2">
      <c r="A120" s="4" t="s">
        <v>233</v>
      </c>
    </row>
    <row r="121" spans="1:2">
      <c r="A121" s="4" t="s">
        <v>232</v>
      </c>
    </row>
    <row r="122" spans="1:2">
      <c r="A122" s="4" t="s">
        <v>234</v>
      </c>
    </row>
    <row r="123" spans="1:2">
      <c r="A123" s="4" t="s">
        <v>199</v>
      </c>
    </row>
    <row r="124" spans="1:2">
      <c r="A124" s="4" t="s">
        <v>200</v>
      </c>
    </row>
    <row r="125" spans="1:2">
      <c r="A125" s="4" t="s">
        <v>202</v>
      </c>
    </row>
    <row r="126" spans="1:2">
      <c r="A126" s="4" t="s">
        <v>197</v>
      </c>
    </row>
    <row r="127" spans="1:2">
      <c r="A127" s="4" t="s">
        <v>194</v>
      </c>
    </row>
    <row r="128" spans="1:2">
      <c r="A128" s="4" t="s">
        <v>226</v>
      </c>
    </row>
    <row r="129" spans="1:1">
      <c r="A129" s="4" t="s">
        <v>145</v>
      </c>
    </row>
    <row r="130" spans="1:1">
      <c r="A130" s="4" t="s">
        <v>218</v>
      </c>
    </row>
    <row r="131" spans="1:1">
      <c r="A131" s="4" t="s">
        <v>181</v>
      </c>
    </row>
    <row r="133" spans="1:1">
      <c r="A133" s="4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T_SQLServer"/>
  <dimension ref="A1:B325"/>
  <sheetViews>
    <sheetView zoomScaleNormal="100" workbookViewId="0">
      <selection activeCell="B37" sqref="B37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7</v>
      </c>
    </row>
    <row r="2" spans="1:1">
      <c r="A2" s="5" t="s">
        <v>337</v>
      </c>
    </row>
    <row r="3" spans="1:1">
      <c r="A3" s="5" t="s">
        <v>338</v>
      </c>
    </row>
    <row r="5" spans="1:1" s="83" customFormat="1">
      <c r="A5" s="83" t="s">
        <v>601</v>
      </c>
    </row>
    <row r="6" spans="1:1">
      <c r="A6" s="4" t="s">
        <v>9</v>
      </c>
    </row>
    <row r="7" spans="1:1">
      <c r="A7" s="5" t="s">
        <v>339</v>
      </c>
    </row>
    <row r="8" spans="1:1">
      <c r="A8" s="4" t="s">
        <v>9</v>
      </c>
    </row>
    <row r="9" spans="1:1">
      <c r="A9" s="4" t="s">
        <v>577</v>
      </c>
    </row>
    <row r="10" spans="1:1">
      <c r="A10" s="4" t="s">
        <v>530</v>
      </c>
    </row>
    <row r="11" spans="1:1">
      <c r="A11" s="58" t="s">
        <v>578</v>
      </c>
    </row>
    <row r="12" spans="1:1">
      <c r="A12" s="4" t="s">
        <v>346</v>
      </c>
    </row>
    <row r="13" spans="1:1">
      <c r="A13" s="4" t="s">
        <v>530</v>
      </c>
    </row>
    <row r="14" spans="1:1" s="83" customFormat="1">
      <c r="A14" s="83" t="s">
        <v>603</v>
      </c>
    </row>
    <row r="16" spans="1:1">
      <c r="A16" s="4" t="s">
        <v>9</v>
      </c>
    </row>
    <row r="17" spans="1:1">
      <c r="A17" s="5" t="s">
        <v>340</v>
      </c>
    </row>
    <row r="18" spans="1:1">
      <c r="A18" s="4" t="s">
        <v>9</v>
      </c>
    </row>
    <row r="19" spans="1:1">
      <c r="A19" s="4" t="s">
        <v>579</v>
      </c>
    </row>
    <row r="20" spans="1:1">
      <c r="A20" s="4" t="s">
        <v>530</v>
      </c>
    </row>
    <row r="21" spans="1:1">
      <c r="A21" s="4" t="s">
        <v>341</v>
      </c>
    </row>
    <row r="22" spans="1:1">
      <c r="A22" s="4" t="s">
        <v>530</v>
      </c>
    </row>
    <row r="24" spans="1:1" s="83" customFormat="1">
      <c r="A24" s="83" t="s">
        <v>599</v>
      </c>
    </row>
    <row r="25" spans="1:1">
      <c r="A25" s="4" t="s">
        <v>9</v>
      </c>
    </row>
    <row r="26" spans="1:1">
      <c r="A26" s="5" t="s">
        <v>342</v>
      </c>
    </row>
    <row r="27" spans="1:1">
      <c r="A27" s="4" t="s">
        <v>9</v>
      </c>
    </row>
    <row r="28" spans="1:1" s="85" customFormat="1">
      <c r="A28" s="85" t="s">
        <v>612</v>
      </c>
    </row>
    <row r="29" spans="1:1" s="85" customFormat="1">
      <c r="A29" s="85" t="s">
        <v>613</v>
      </c>
    </row>
    <row r="30" spans="1:1" s="85" customFormat="1">
      <c r="A30" s="85" t="s">
        <v>614</v>
      </c>
    </row>
    <row r="31" spans="1:1" s="85" customFormat="1">
      <c r="A31" s="85" t="s">
        <v>615</v>
      </c>
    </row>
    <row r="32" spans="1:1" s="85" customFormat="1">
      <c r="A32" s="85" t="s">
        <v>616</v>
      </c>
    </row>
    <row r="33" spans="1:1" s="85" customFormat="1">
      <c r="A33" s="85" t="s">
        <v>617</v>
      </c>
    </row>
    <row r="34" spans="1:1" s="85" customFormat="1"/>
    <row r="35" spans="1:1">
      <c r="A35" s="4" t="s">
        <v>343</v>
      </c>
    </row>
    <row r="36" spans="1:1">
      <c r="A36" s="4" t="s">
        <v>530</v>
      </c>
    </row>
    <row r="37" spans="1:1" s="83" customFormat="1">
      <c r="A37" s="83" t="s">
        <v>600</v>
      </c>
    </row>
    <row r="39" spans="1:1" s="85" customFormat="1">
      <c r="A39" s="85" t="s">
        <v>607</v>
      </c>
    </row>
    <row r="40" spans="1:1" s="85" customFormat="1">
      <c r="A40" s="85" t="s">
        <v>9</v>
      </c>
    </row>
    <row r="41" spans="1:1" s="85" customFormat="1">
      <c r="A41" s="5" t="s">
        <v>609</v>
      </c>
    </row>
    <row r="42" spans="1:1" s="85" customFormat="1">
      <c r="A42" s="85" t="s">
        <v>9</v>
      </c>
    </row>
    <row r="43" spans="1:1" s="85" customFormat="1">
      <c r="A43" s="85" t="s">
        <v>610</v>
      </c>
    </row>
    <row r="44" spans="1:1" s="85" customFormat="1">
      <c r="A44" s="85" t="s">
        <v>378</v>
      </c>
    </row>
    <row r="45" spans="1:1" s="85" customFormat="1">
      <c r="A45" s="85" t="s">
        <v>608</v>
      </c>
    </row>
    <row r="46" spans="1:1" s="85" customFormat="1"/>
    <row r="47" spans="1:1">
      <c r="A47" s="4" t="s">
        <v>9</v>
      </c>
    </row>
    <row r="48" spans="1:1">
      <c r="A48" s="5" t="s">
        <v>344</v>
      </c>
    </row>
    <row r="49" spans="1:1">
      <c r="A49" s="4" t="s">
        <v>9</v>
      </c>
    </row>
    <row r="50" spans="1:1">
      <c r="A50" s="4" t="s">
        <v>345</v>
      </c>
    </row>
    <row r="51" spans="1:1">
      <c r="A51" s="4" t="s">
        <v>530</v>
      </c>
    </row>
    <row r="53" spans="1:1">
      <c r="A53" s="4" t="s">
        <v>400</v>
      </c>
    </row>
    <row r="54" spans="1:1">
      <c r="A54" s="4" t="s">
        <v>9</v>
      </c>
    </row>
    <row r="55" spans="1:1">
      <c r="A55" s="5" t="s">
        <v>391</v>
      </c>
    </row>
    <row r="56" spans="1:1">
      <c r="A56" s="4" t="s">
        <v>9</v>
      </c>
    </row>
    <row r="57" spans="1:1">
      <c r="A57" s="4" t="s">
        <v>377</v>
      </c>
    </row>
    <row r="58" spans="1:1">
      <c r="A58" s="4" t="s">
        <v>392</v>
      </c>
    </row>
    <row r="59" spans="1:1">
      <c r="A59" s="4" t="s">
        <v>378</v>
      </c>
    </row>
    <row r="60" spans="1:1">
      <c r="A60" s="4" t="s">
        <v>518</v>
      </c>
    </row>
    <row r="61" spans="1:1">
      <c r="A61" s="4" t="s">
        <v>379</v>
      </c>
    </row>
    <row r="62" spans="1:1">
      <c r="A62" s="4" t="s">
        <v>380</v>
      </c>
    </row>
    <row r="64" spans="1:1">
      <c r="A64" s="4" t="s">
        <v>401</v>
      </c>
    </row>
    <row r="65" spans="1:1">
      <c r="A65" s="4" t="s">
        <v>414</v>
      </c>
    </row>
    <row r="67" spans="1:1">
      <c r="A67" s="4" t="s">
        <v>402</v>
      </c>
    </row>
    <row r="68" spans="1:1">
      <c r="A68" s="4" t="s">
        <v>403</v>
      </c>
    </row>
    <row r="69" spans="1:1">
      <c r="A69" s="4" t="s">
        <v>404</v>
      </c>
    </row>
    <row r="71" spans="1:1">
      <c r="A71" s="4" t="s">
        <v>405</v>
      </c>
    </row>
    <row r="72" spans="1:1">
      <c r="A72" s="4" t="s">
        <v>406</v>
      </c>
    </row>
    <row r="74" spans="1:1">
      <c r="A74" s="4" t="s">
        <v>444</v>
      </c>
    </row>
    <row r="75" spans="1:1">
      <c r="A75" s="4" t="s">
        <v>445</v>
      </c>
    </row>
    <row r="76" spans="1:1">
      <c r="A76" s="4" t="s">
        <v>446</v>
      </c>
    </row>
    <row r="78" spans="1:1">
      <c r="A78" s="4" t="s">
        <v>409</v>
      </c>
    </row>
    <row r="79" spans="1:1">
      <c r="A79" s="4" t="s">
        <v>407</v>
      </c>
    </row>
    <row r="80" spans="1:1">
      <c r="A80" s="4" t="s">
        <v>408</v>
      </c>
    </row>
    <row r="82" spans="1:1">
      <c r="A82" s="4" t="s">
        <v>410</v>
      </c>
    </row>
    <row r="83" spans="1:1">
      <c r="A83" s="4" t="s">
        <v>411</v>
      </c>
    </row>
    <row r="85" spans="1:1">
      <c r="A85" s="4" t="s">
        <v>412</v>
      </c>
    </row>
    <row r="86" spans="1:1">
      <c r="A86" s="4" t="s">
        <v>413</v>
      </c>
    </row>
    <row r="87" spans="1:1">
      <c r="A87" s="4" t="s">
        <v>510</v>
      </c>
    </row>
    <row r="88" spans="1:1">
      <c r="A88" s="4" t="s">
        <v>415</v>
      </c>
    </row>
    <row r="89" spans="1:1">
      <c r="A89" s="28"/>
    </row>
    <row r="90" spans="1:1">
      <c r="A90" s="28" t="s">
        <v>416</v>
      </c>
    </row>
    <row r="91" spans="1:1">
      <c r="A91" s="28"/>
    </row>
    <row r="92" spans="1:1">
      <c r="A92" s="28" t="s">
        <v>417</v>
      </c>
    </row>
    <row r="93" spans="1:1">
      <c r="A93" s="28" t="s">
        <v>418</v>
      </c>
    </row>
    <row r="94" spans="1:1">
      <c r="A94" s="28" t="s">
        <v>419</v>
      </c>
    </row>
    <row r="95" spans="1:1">
      <c r="A95" s="28"/>
    </row>
    <row r="96" spans="1:1">
      <c r="A96" s="28" t="s">
        <v>420</v>
      </c>
    </row>
    <row r="97" spans="1:1">
      <c r="A97" s="28" t="s">
        <v>519</v>
      </c>
    </row>
    <row r="98" spans="1:1">
      <c r="A98" s="28" t="s">
        <v>430</v>
      </c>
    </row>
    <row r="99" spans="1:1">
      <c r="A99" s="28" t="s">
        <v>511</v>
      </c>
    </row>
    <row r="100" spans="1:1">
      <c r="A100" s="28" t="s">
        <v>431</v>
      </c>
    </row>
    <row r="101" spans="1:1">
      <c r="A101" s="28"/>
    </row>
    <row r="102" spans="1:1">
      <c r="A102" s="28" t="s">
        <v>428</v>
      </c>
    </row>
    <row r="103" spans="1:1">
      <c r="A103" s="28" t="s">
        <v>509</v>
      </c>
    </row>
    <row r="104" spans="1:1">
      <c r="A104" s="28" t="s">
        <v>421</v>
      </c>
    </row>
    <row r="105" spans="1:1">
      <c r="A105" s="28"/>
    </row>
    <row r="106" spans="1:1">
      <c r="A106" s="28" t="s">
        <v>422</v>
      </c>
    </row>
    <row r="107" spans="1:1">
      <c r="A107" s="28" t="s">
        <v>423</v>
      </c>
    </row>
    <row r="108" spans="1:1">
      <c r="A108" s="28"/>
    </row>
    <row r="109" spans="1:1">
      <c r="A109" s="28" t="s">
        <v>424</v>
      </c>
    </row>
    <row r="110" spans="1:1">
      <c r="A110" s="28" t="s">
        <v>425</v>
      </c>
    </row>
    <row r="111" spans="1:1">
      <c r="A111" s="28" t="s">
        <v>419</v>
      </c>
    </row>
    <row r="112" spans="1:1">
      <c r="A112" s="28"/>
    </row>
    <row r="113" spans="1:1">
      <c r="A113" s="28" t="s">
        <v>420</v>
      </c>
    </row>
    <row r="114" spans="1:1">
      <c r="A114" s="28" t="s">
        <v>519</v>
      </c>
    </row>
    <row r="115" spans="1:1">
      <c r="A115" s="28" t="s">
        <v>430</v>
      </c>
    </row>
    <row r="116" spans="1:1">
      <c r="A116" s="28" t="s">
        <v>512</v>
      </c>
    </row>
    <row r="117" spans="1:1">
      <c r="A117" s="28" t="s">
        <v>506</v>
      </c>
    </row>
    <row r="118" spans="1:1">
      <c r="A118" s="28"/>
    </row>
    <row r="119" spans="1:1">
      <c r="A119" s="28" t="s">
        <v>428</v>
      </c>
    </row>
    <row r="120" spans="1:1">
      <c r="A120" s="28" t="s">
        <v>509</v>
      </c>
    </row>
    <row r="121" spans="1:1">
      <c r="A121" s="28" t="s">
        <v>421</v>
      </c>
    </row>
    <row r="122" spans="1:1">
      <c r="A122" s="28" t="s">
        <v>429</v>
      </c>
    </row>
    <row r="123" spans="1:1">
      <c r="A123" s="28"/>
    </row>
    <row r="124" spans="1:1">
      <c r="A124" s="28" t="s">
        <v>422</v>
      </c>
    </row>
    <row r="125" spans="1:1">
      <c r="A125" s="28" t="s">
        <v>423</v>
      </c>
    </row>
    <row r="126" spans="1:1">
      <c r="A126" s="28"/>
    </row>
    <row r="127" spans="1:1">
      <c r="A127" s="28" t="s">
        <v>426</v>
      </c>
    </row>
    <row r="128" spans="1:1">
      <c r="A128" s="28"/>
    </row>
    <row r="129" spans="1:1">
      <c r="A129" s="28" t="s">
        <v>432</v>
      </c>
    </row>
    <row r="130" spans="1:1">
      <c r="A130" s="28" t="s">
        <v>433</v>
      </c>
    </row>
    <row r="131" spans="1:1">
      <c r="A131" s="28" t="s">
        <v>434</v>
      </c>
    </row>
    <row r="132" spans="1:1">
      <c r="A132" s="28" t="s">
        <v>435</v>
      </c>
    </row>
    <row r="133" spans="1:1">
      <c r="A133" s="28"/>
    </row>
    <row r="134" spans="1:1">
      <c r="A134" s="28" t="s">
        <v>436</v>
      </c>
    </row>
    <row r="135" spans="1:1">
      <c r="A135" s="28"/>
    </row>
    <row r="136" spans="1:1">
      <c r="A136" s="28" t="s">
        <v>437</v>
      </c>
    </row>
    <row r="137" spans="1:1">
      <c r="A137" s="28" t="s">
        <v>438</v>
      </c>
    </row>
    <row r="138" spans="1:1">
      <c r="A138" s="28" t="s">
        <v>439</v>
      </c>
    </row>
    <row r="139" spans="1:1">
      <c r="A139" s="4" t="s">
        <v>530</v>
      </c>
    </row>
    <row r="140" spans="1:1">
      <c r="A140" s="28" t="s">
        <v>440</v>
      </c>
    </row>
    <row r="141" spans="1:1">
      <c r="A141" s="4" t="s">
        <v>217</v>
      </c>
    </row>
    <row r="143" spans="1:1">
      <c r="A143" s="4" t="s">
        <v>381</v>
      </c>
    </row>
    <row r="144" spans="1:1">
      <c r="A144" s="4" t="s">
        <v>9</v>
      </c>
    </row>
    <row r="145" spans="1:2">
      <c r="A145" s="5" t="s">
        <v>382</v>
      </c>
      <c r="B145" s="5"/>
    </row>
    <row r="146" spans="1:2">
      <c r="A146" s="4" t="s">
        <v>9</v>
      </c>
    </row>
    <row r="147" spans="1:2">
      <c r="A147" s="4" t="s">
        <v>393</v>
      </c>
    </row>
    <row r="148" spans="1:2">
      <c r="A148" s="4" t="s">
        <v>530</v>
      </c>
    </row>
    <row r="149" spans="1:2">
      <c r="A149" s="4" t="s">
        <v>394</v>
      </c>
    </row>
    <row r="150" spans="1:2">
      <c r="A150" s="4" t="s">
        <v>395</v>
      </c>
    </row>
    <row r="151" spans="1:2">
      <c r="A151" s="4" t="s">
        <v>396</v>
      </c>
    </row>
    <row r="152" spans="1:2">
      <c r="A152" s="4" t="s">
        <v>399</v>
      </c>
    </row>
    <row r="153" spans="1:2">
      <c r="A153" s="4" t="s">
        <v>397</v>
      </c>
    </row>
    <row r="154" spans="1:2">
      <c r="A154" s="4" t="s">
        <v>398</v>
      </c>
    </row>
    <row r="155" spans="1:2">
      <c r="A155" s="4" t="s">
        <v>383</v>
      </c>
    </row>
    <row r="156" spans="1:2">
      <c r="A156" s="4" t="s">
        <v>384</v>
      </c>
    </row>
    <row r="157" spans="1:2">
      <c r="A157" s="4" t="s">
        <v>530</v>
      </c>
    </row>
    <row r="158" spans="1:2">
      <c r="A158" s="4" t="s">
        <v>9</v>
      </c>
    </row>
    <row r="159" spans="1:2">
      <c r="A159" s="5" t="s">
        <v>179</v>
      </c>
    </row>
    <row r="160" spans="1:2">
      <c r="A160" s="4" t="s">
        <v>9</v>
      </c>
    </row>
    <row r="161" spans="1:1">
      <c r="A161" s="4" t="s">
        <v>385</v>
      </c>
    </row>
    <row r="162" spans="1:1">
      <c r="A162" s="4" t="s">
        <v>386</v>
      </c>
    </row>
    <row r="163" spans="1:1">
      <c r="A163" s="4" t="s">
        <v>387</v>
      </c>
    </row>
    <row r="164" spans="1:1">
      <c r="A164" s="4" t="s">
        <v>388</v>
      </c>
    </row>
    <row r="165" spans="1:1">
      <c r="A165" s="4" t="s">
        <v>389</v>
      </c>
    </row>
    <row r="166" spans="1:1">
      <c r="A166" s="4" t="s">
        <v>390</v>
      </c>
    </row>
    <row r="167" spans="1:1">
      <c r="A167" s="4" t="s">
        <v>441</v>
      </c>
    </row>
    <row r="168" spans="1:1">
      <c r="A168" s="4" t="s">
        <v>516</v>
      </c>
    </row>
    <row r="169" spans="1:1">
      <c r="A169" s="4" t="s">
        <v>515</v>
      </c>
    </row>
    <row r="171" spans="1:1">
      <c r="A171" s="4" t="s">
        <v>402</v>
      </c>
    </row>
    <row r="172" spans="1:1">
      <c r="A172" s="4" t="s">
        <v>403</v>
      </c>
    </row>
    <row r="173" spans="1:1">
      <c r="A173" s="4" t="s">
        <v>404</v>
      </c>
    </row>
    <row r="175" spans="1:1">
      <c r="A175" s="4" t="s">
        <v>405</v>
      </c>
    </row>
    <row r="176" spans="1:1">
      <c r="A176" s="4" t="s">
        <v>442</v>
      </c>
    </row>
    <row r="177" spans="1:1">
      <c r="A177" s="4" t="s">
        <v>443</v>
      </c>
    </row>
    <row r="179" spans="1:1">
      <c r="A179" s="4" t="s">
        <v>444</v>
      </c>
    </row>
    <row r="180" spans="1:1">
      <c r="A180" s="4" t="s">
        <v>447</v>
      </c>
    </row>
    <row r="181" spans="1:1">
      <c r="A181" s="4" t="s">
        <v>514</v>
      </c>
    </row>
    <row r="182" spans="1:1">
      <c r="A182" s="4" t="s">
        <v>448</v>
      </c>
    </row>
    <row r="183" spans="1:1">
      <c r="A183" s="4" t="s">
        <v>449</v>
      </c>
    </row>
    <row r="185" spans="1:1">
      <c r="A185" s="4" t="s">
        <v>409</v>
      </c>
    </row>
    <row r="186" spans="1:1">
      <c r="A186" s="4" t="s">
        <v>407</v>
      </c>
    </row>
    <row r="187" spans="1:1">
      <c r="A187" s="4" t="s">
        <v>408</v>
      </c>
    </row>
    <row r="189" spans="1:1">
      <c r="A189" s="4" t="s">
        <v>450</v>
      </c>
    </row>
    <row r="190" spans="1:1">
      <c r="A190" s="4" t="s">
        <v>451</v>
      </c>
    </row>
    <row r="191" spans="1:1">
      <c r="A191" s="4" t="s">
        <v>452</v>
      </c>
    </row>
    <row r="193" spans="1:1">
      <c r="A193" s="28" t="s">
        <v>416</v>
      </c>
    </row>
    <row r="194" spans="1:1">
      <c r="A194" s="28"/>
    </row>
    <row r="195" spans="1:1">
      <c r="A195" s="28" t="s">
        <v>417</v>
      </c>
    </row>
    <row r="196" spans="1:1">
      <c r="A196" s="28" t="s">
        <v>418</v>
      </c>
    </row>
    <row r="197" spans="1:1">
      <c r="A197" s="28" t="s">
        <v>419</v>
      </c>
    </row>
    <row r="198" spans="1:1">
      <c r="A198" s="28"/>
    </row>
    <row r="199" spans="1:1">
      <c r="A199" s="28" t="s">
        <v>496</v>
      </c>
    </row>
    <row r="200" spans="1:1">
      <c r="A200" s="28" t="s">
        <v>508</v>
      </c>
    </row>
    <row r="201" spans="1:1">
      <c r="A201" s="28" t="s">
        <v>453</v>
      </c>
    </row>
    <row r="202" spans="1:1">
      <c r="A202" s="28"/>
    </row>
    <row r="203" spans="1:1">
      <c r="A203" s="28" t="s">
        <v>497</v>
      </c>
    </row>
    <row r="204" spans="1:1">
      <c r="A204" s="28" t="s">
        <v>507</v>
      </c>
    </row>
    <row r="205" spans="1:1">
      <c r="A205" s="28" t="s">
        <v>454</v>
      </c>
    </row>
    <row r="206" spans="1:1">
      <c r="A206" s="28"/>
    </row>
    <row r="207" spans="1:1">
      <c r="A207" s="28" t="s">
        <v>478</v>
      </c>
    </row>
    <row r="208" spans="1:1">
      <c r="A208" s="28" t="s">
        <v>520</v>
      </c>
    </row>
    <row r="209" spans="1:1">
      <c r="A209" s="28" t="s">
        <v>494</v>
      </c>
    </row>
    <row r="210" spans="1:1">
      <c r="A210" s="28" t="s">
        <v>457</v>
      </c>
    </row>
    <row r="211" spans="1:1">
      <c r="A211" s="28" t="s">
        <v>458</v>
      </c>
    </row>
    <row r="212" spans="1:1">
      <c r="A212" s="28" t="s">
        <v>459</v>
      </c>
    </row>
    <row r="213" spans="1:1">
      <c r="A213" s="28" t="s">
        <v>460</v>
      </c>
    </row>
    <row r="214" spans="1:1">
      <c r="A214" s="4" t="s">
        <v>476</v>
      </c>
    </row>
    <row r="215" spans="1:1">
      <c r="A215" s="28" t="s">
        <v>461</v>
      </c>
    </row>
    <row r="216" spans="1:1">
      <c r="A216" s="28" t="s">
        <v>462</v>
      </c>
    </row>
    <row r="217" spans="1:1">
      <c r="A217" s="28" t="s">
        <v>463</v>
      </c>
    </row>
    <row r="218" spans="1:1">
      <c r="A218" s="28" t="s">
        <v>464</v>
      </c>
    </row>
    <row r="219" spans="1:1">
      <c r="A219" s="28" t="s">
        <v>465</v>
      </c>
    </row>
    <row r="220" spans="1:1">
      <c r="A220" s="28" t="s">
        <v>466</v>
      </c>
    </row>
    <row r="221" spans="1:1">
      <c r="A221" s="4" t="s">
        <v>470</v>
      </c>
    </row>
    <row r="222" spans="1:1">
      <c r="A222" s="4" t="s">
        <v>471</v>
      </c>
    </row>
    <row r="223" spans="1:1">
      <c r="A223" s="28" t="s">
        <v>467</v>
      </c>
    </row>
    <row r="224" spans="1:1">
      <c r="A224" s="28"/>
    </row>
    <row r="225" spans="1:1">
      <c r="A225" s="28" t="s">
        <v>498</v>
      </c>
    </row>
    <row r="226" spans="1:1">
      <c r="A226" s="28" t="s">
        <v>501</v>
      </c>
    </row>
    <row r="227" spans="1:1">
      <c r="A227" s="28" t="s">
        <v>468</v>
      </c>
    </row>
    <row r="228" spans="1:1">
      <c r="A228" s="28"/>
    </row>
    <row r="229" spans="1:1">
      <c r="A229" s="28" t="s">
        <v>499</v>
      </c>
    </row>
    <row r="230" spans="1:1">
      <c r="A230" s="28" t="s">
        <v>502</v>
      </c>
    </row>
    <row r="231" spans="1:1">
      <c r="A231" s="28" t="s">
        <v>469</v>
      </c>
    </row>
    <row r="233" spans="1:1">
      <c r="A233" s="4" t="s">
        <v>477</v>
      </c>
    </row>
    <row r="234" spans="1:1">
      <c r="A234" s="4" t="s">
        <v>479</v>
      </c>
    </row>
    <row r="236" spans="1:1">
      <c r="A236" s="4" t="s">
        <v>424</v>
      </c>
    </row>
    <row r="237" spans="1:1">
      <c r="A237" s="4" t="s">
        <v>425</v>
      </c>
    </row>
    <row r="238" spans="1:1">
      <c r="A238" s="4" t="s">
        <v>419</v>
      </c>
    </row>
    <row r="240" spans="1:1">
      <c r="A240" s="28" t="s">
        <v>497</v>
      </c>
    </row>
    <row r="241" spans="1:1">
      <c r="A241" s="4" t="s">
        <v>503</v>
      </c>
    </row>
    <row r="242" spans="1:1">
      <c r="A242" s="4" t="s">
        <v>454</v>
      </c>
    </row>
    <row r="244" spans="1:1">
      <c r="A244" s="4" t="s">
        <v>427</v>
      </c>
    </row>
    <row r="246" spans="1:1">
      <c r="A246" s="4" t="s">
        <v>520</v>
      </c>
    </row>
    <row r="247" spans="1:1">
      <c r="A247" s="4" t="s">
        <v>473</v>
      </c>
    </row>
    <row r="248" spans="1:1">
      <c r="A248" s="4" t="s">
        <v>457</v>
      </c>
    </row>
    <row r="249" spans="1:1">
      <c r="A249" s="4" t="s">
        <v>458</v>
      </c>
    </row>
    <row r="250" spans="1:1">
      <c r="A250" s="4" t="s">
        <v>459</v>
      </c>
    </row>
    <row r="251" spans="1:1">
      <c r="A251" s="4" t="s">
        <v>460</v>
      </c>
    </row>
    <row r="252" spans="1:1">
      <c r="A252" s="4" t="s">
        <v>476</v>
      </c>
    </row>
    <row r="253" spans="1:1">
      <c r="A253" s="4" t="s">
        <v>461</v>
      </c>
    </row>
    <row r="254" spans="1:1">
      <c r="A254" s="4" t="s">
        <v>462</v>
      </c>
    </row>
    <row r="255" spans="1:1">
      <c r="A255" s="4" t="s">
        <v>463</v>
      </c>
    </row>
    <row r="256" spans="1:1">
      <c r="A256" s="4" t="s">
        <v>464</v>
      </c>
    </row>
    <row r="257" spans="1:1">
      <c r="A257" s="4" t="s">
        <v>465</v>
      </c>
    </row>
    <row r="258" spans="1:1">
      <c r="A258" s="4" t="s">
        <v>474</v>
      </c>
    </row>
    <row r="259" spans="1:1">
      <c r="A259" s="4" t="s">
        <v>495</v>
      </c>
    </row>
    <row r="260" spans="1:1">
      <c r="A260" s="4" t="s">
        <v>471</v>
      </c>
    </row>
    <row r="261" spans="1:1">
      <c r="A261" s="4" t="s">
        <v>467</v>
      </c>
    </row>
    <row r="263" spans="1:1">
      <c r="A263" s="4" t="s">
        <v>500</v>
      </c>
    </row>
    <row r="264" spans="1:1">
      <c r="A264" s="4" t="s">
        <v>504</v>
      </c>
    </row>
    <row r="265" spans="1:1">
      <c r="A265" s="4" t="s">
        <v>475</v>
      </c>
    </row>
    <row r="267" spans="1:1">
      <c r="A267" s="4" t="s">
        <v>477</v>
      </c>
    </row>
    <row r="268" spans="1:1">
      <c r="A268" s="4" t="s">
        <v>479</v>
      </c>
    </row>
    <row r="270" spans="1:1">
      <c r="A270" s="4" t="s">
        <v>455</v>
      </c>
    </row>
    <row r="271" spans="1:1">
      <c r="A271" s="4" t="s">
        <v>456</v>
      </c>
    </row>
    <row r="272" spans="1:1">
      <c r="A272" s="4" t="s">
        <v>419</v>
      </c>
    </row>
    <row r="274" spans="1:1">
      <c r="A274" s="4" t="s">
        <v>496</v>
      </c>
    </row>
    <row r="275" spans="1:1">
      <c r="A275" s="4" t="s">
        <v>505</v>
      </c>
    </row>
    <row r="276" spans="1:1">
      <c r="A276" s="4" t="s">
        <v>453</v>
      </c>
    </row>
    <row r="278" spans="1:1">
      <c r="A278" s="4" t="s">
        <v>480</v>
      </c>
    </row>
    <row r="279" spans="1:1">
      <c r="A279" s="4" t="s">
        <v>520</v>
      </c>
    </row>
    <row r="280" spans="1:1">
      <c r="A280" s="4" t="s">
        <v>473</v>
      </c>
    </row>
    <row r="281" spans="1:1">
      <c r="A281" s="4" t="s">
        <v>457</v>
      </c>
    </row>
    <row r="282" spans="1:1">
      <c r="A282" s="4" t="s">
        <v>458</v>
      </c>
    </row>
    <row r="283" spans="1:1">
      <c r="A283" s="4" t="s">
        <v>459</v>
      </c>
    </row>
    <row r="284" spans="1:1">
      <c r="A284" s="4" t="s">
        <v>460</v>
      </c>
    </row>
    <row r="285" spans="1:1">
      <c r="A285" s="4" t="s">
        <v>476</v>
      </c>
    </row>
    <row r="286" spans="1:1">
      <c r="A286" s="4" t="s">
        <v>461</v>
      </c>
    </row>
    <row r="287" spans="1:1">
      <c r="A287" s="4" t="s">
        <v>462</v>
      </c>
    </row>
    <row r="288" spans="1:1">
      <c r="A288" s="4" t="s">
        <v>463</v>
      </c>
    </row>
    <row r="289" spans="1:1">
      <c r="A289" s="4" t="s">
        <v>464</v>
      </c>
    </row>
    <row r="290" spans="1:1">
      <c r="A290" s="4" t="s">
        <v>465</v>
      </c>
    </row>
    <row r="291" spans="1:1">
      <c r="A291" s="4" t="s">
        <v>481</v>
      </c>
    </row>
    <row r="292" spans="1:1">
      <c r="A292" s="4" t="s">
        <v>470</v>
      </c>
    </row>
    <row r="293" spans="1:1">
      <c r="A293" s="4" t="s">
        <v>495</v>
      </c>
    </row>
    <row r="294" spans="1:1">
      <c r="A294" s="4" t="s">
        <v>467</v>
      </c>
    </row>
    <row r="296" spans="1:1">
      <c r="A296" s="4" t="s">
        <v>472</v>
      </c>
    </row>
    <row r="297" spans="1:1">
      <c r="A297" s="4" t="s">
        <v>501</v>
      </c>
    </row>
    <row r="298" spans="1:1">
      <c r="A298" s="4" t="s">
        <v>468</v>
      </c>
    </row>
    <row r="300" spans="1:1">
      <c r="A300" s="4" t="s">
        <v>477</v>
      </c>
    </row>
    <row r="301" spans="1:1">
      <c r="A301" s="4" t="s">
        <v>423</v>
      </c>
    </row>
    <row r="303" spans="1:1">
      <c r="A303" s="28" t="s">
        <v>426</v>
      </c>
    </row>
    <row r="305" spans="1:1">
      <c r="A305" s="4" t="s">
        <v>432</v>
      </c>
    </row>
    <row r="306" spans="1:1">
      <c r="A306" s="4" t="s">
        <v>486</v>
      </c>
    </row>
    <row r="307" spans="1:1">
      <c r="A307" s="4" t="s">
        <v>487</v>
      </c>
    </row>
    <row r="308" spans="1:1">
      <c r="A308" s="4" t="s">
        <v>488</v>
      </c>
    </row>
    <row r="310" spans="1:1">
      <c r="A310" s="4" t="s">
        <v>489</v>
      </c>
    </row>
    <row r="311" spans="1:1">
      <c r="A311" s="4" t="s">
        <v>490</v>
      </c>
    </row>
    <row r="313" spans="1:1">
      <c r="A313" s="4" t="s">
        <v>436</v>
      </c>
    </row>
    <row r="315" spans="1:1">
      <c r="A315" s="4" t="s">
        <v>491</v>
      </c>
    </row>
    <row r="316" spans="1:1">
      <c r="A316" s="4" t="s">
        <v>482</v>
      </c>
    </row>
    <row r="317" spans="1:1">
      <c r="A317" s="4" t="s">
        <v>483</v>
      </c>
    </row>
    <row r="319" spans="1:1">
      <c r="A319" s="4" t="s">
        <v>484</v>
      </c>
    </row>
    <row r="320" spans="1:1">
      <c r="A320" s="4" t="s">
        <v>485</v>
      </c>
    </row>
    <row r="321" spans="1:1">
      <c r="A321" s="4" t="s">
        <v>530</v>
      </c>
    </row>
    <row r="322" spans="1:1">
      <c r="A322" s="4" t="s">
        <v>440</v>
      </c>
    </row>
    <row r="323" spans="1:1">
      <c r="A323" s="4" t="s">
        <v>492</v>
      </c>
    </row>
    <row r="325" spans="1:1">
      <c r="A325" s="4" t="s">
        <v>493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00BC4-163C-4BB4-80A4-6AFB02DCF777}">
  <sheetPr codeName="CT_DrSum"/>
  <dimension ref="A1:A32"/>
  <sheetViews>
    <sheetView zoomScaleNormal="100" workbookViewId="0">
      <selection activeCell="F41" sqref="F41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7</v>
      </c>
    </row>
    <row r="2" spans="1:1">
      <c r="A2" s="5" t="s">
        <v>40</v>
      </c>
    </row>
    <row r="3" spans="1:1">
      <c r="A3" s="5" t="s">
        <v>581</v>
      </c>
    </row>
    <row r="5" spans="1:1" s="85" customFormat="1">
      <c r="A5" s="85" t="s">
        <v>601</v>
      </c>
    </row>
    <row r="6" spans="1:1">
      <c r="A6" s="4" t="s">
        <v>9</v>
      </c>
    </row>
    <row r="7" spans="1:1">
      <c r="A7" s="5" t="s">
        <v>250</v>
      </c>
    </row>
    <row r="8" spans="1:1">
      <c r="A8" s="4" t="s">
        <v>9</v>
      </c>
    </row>
    <row r="9" spans="1:1">
      <c r="A9" s="4" t="s">
        <v>577</v>
      </c>
    </row>
    <row r="10" spans="1:1">
      <c r="A10" s="4" t="s">
        <v>281</v>
      </c>
    </row>
    <row r="11" spans="1:1" s="85" customFormat="1">
      <c r="A11" s="85" t="s">
        <v>603</v>
      </c>
    </row>
    <row r="13" spans="1:1">
      <c r="A13" s="4" t="s">
        <v>9</v>
      </c>
    </row>
    <row r="14" spans="1:1">
      <c r="A14" s="5" t="s">
        <v>51</v>
      </c>
    </row>
    <row r="15" spans="1:1">
      <c r="A15" s="4" t="s">
        <v>9</v>
      </c>
    </row>
    <row r="16" spans="1:1">
      <c r="A16" s="4" t="s">
        <v>579</v>
      </c>
    </row>
    <row r="17" spans="1:1">
      <c r="A17" s="4" t="s">
        <v>39</v>
      </c>
    </row>
    <row r="19" spans="1:1" s="85" customFormat="1">
      <c r="A19" s="85" t="s">
        <v>599</v>
      </c>
    </row>
    <row r="20" spans="1:1">
      <c r="A20" s="4" t="s">
        <v>9</v>
      </c>
    </row>
    <row r="21" spans="1:1">
      <c r="A21" s="5" t="s">
        <v>10</v>
      </c>
    </row>
    <row r="22" spans="1:1">
      <c r="A22" s="4" t="s">
        <v>9</v>
      </c>
    </row>
    <row r="23" spans="1:1">
      <c r="A23" s="4" t="s">
        <v>646</v>
      </c>
    </row>
    <row r="24" spans="1:1">
      <c r="A24" s="4" t="s">
        <v>33</v>
      </c>
    </row>
    <row r="25" spans="1:1" s="85" customFormat="1">
      <c r="A25" s="85" t="s">
        <v>600</v>
      </c>
    </row>
    <row r="27" spans="1:1">
      <c r="A27" s="4" t="s">
        <v>9</v>
      </c>
    </row>
    <row r="28" spans="1:1">
      <c r="A28" s="5" t="s">
        <v>11</v>
      </c>
    </row>
    <row r="29" spans="1:1">
      <c r="A29" s="4" t="s">
        <v>9</v>
      </c>
    </row>
    <row r="30" spans="1:1">
      <c r="A30" s="4" t="s">
        <v>34</v>
      </c>
    </row>
    <row r="32" spans="1:1">
      <c r="A32" s="4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テーブル仕様シート"/>
  <dimension ref="B1:AF52"/>
  <sheetViews>
    <sheetView zoomScaleNormal="100" zoomScaleSheetLayoutView="85" workbookViewId="0">
      <pane ySplit="6" topLeftCell="A7" activePane="bottomLeft" state="frozen"/>
      <selection pane="bottomLeft" activeCell="L18" sqref="L18"/>
    </sheetView>
  </sheetViews>
  <sheetFormatPr defaultRowHeight="13.5"/>
  <cols>
    <col min="1" max="1" width="1" customWidth="1"/>
    <col min="2" max="2" width="6.5" customWidth="1"/>
    <col min="3" max="3" width="32.75" style="30" customWidth="1"/>
    <col min="4" max="4" width="31.625" customWidth="1"/>
    <col min="5" max="5" width="17.25" customWidth="1"/>
    <col min="6" max="6" width="5.75" bestFit="1" customWidth="1"/>
    <col min="7" max="7" width="5.875" customWidth="1"/>
    <col min="8" max="8" width="12.5" customWidth="1"/>
    <col min="9" max="9" width="8.625" customWidth="1"/>
    <col min="10" max="10" width="7.75" customWidth="1"/>
    <col min="11" max="11" width="9.25" customWidth="1"/>
    <col min="12" max="12" width="44.875" customWidth="1"/>
    <col min="13" max="32" width="4.5" customWidth="1"/>
  </cols>
  <sheetData>
    <row r="1" spans="2:32" ht="39" customHeight="1">
      <c r="I1" s="6"/>
      <c r="J1" s="6"/>
      <c r="K1" s="6"/>
    </row>
    <row r="2" spans="2:32">
      <c r="B2" s="8" t="s">
        <v>6</v>
      </c>
      <c r="C2" s="8"/>
      <c r="D2" s="99"/>
      <c r="E2" s="99"/>
      <c r="F2" s="30"/>
      <c r="G2" s="9" t="s">
        <v>124</v>
      </c>
      <c r="H2" s="31"/>
      <c r="I2" s="100"/>
      <c r="J2" s="100"/>
      <c r="K2" s="100"/>
      <c r="L2" s="32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2:32">
      <c r="B3" s="8" t="s">
        <v>2</v>
      </c>
      <c r="C3" s="8"/>
      <c r="D3" s="99"/>
      <c r="E3" s="99"/>
      <c r="F3" s="30"/>
      <c r="G3" s="9" t="s">
        <v>125</v>
      </c>
      <c r="H3" s="31"/>
      <c r="I3" s="100"/>
      <c r="J3" s="100"/>
      <c r="K3" s="100"/>
      <c r="L3" s="30"/>
      <c r="M3" s="30"/>
      <c r="N3" s="30"/>
      <c r="O3" s="30"/>
      <c r="P3" s="30"/>
      <c r="Q3" s="30"/>
      <c r="R3" s="30"/>
      <c r="S3" s="30"/>
      <c r="T3" s="87"/>
      <c r="U3" s="87"/>
      <c r="V3" s="87"/>
      <c r="W3" s="87"/>
      <c r="X3" s="87"/>
      <c r="Y3" s="30"/>
      <c r="Z3" s="30"/>
      <c r="AA3" s="30"/>
      <c r="AB3" s="30"/>
      <c r="AC3" s="30"/>
      <c r="AD3" s="30"/>
      <c r="AE3" s="30"/>
      <c r="AF3" s="30"/>
    </row>
    <row r="4" spans="2:32">
      <c r="B4" s="8" t="s">
        <v>5</v>
      </c>
      <c r="C4" s="8"/>
      <c r="D4" s="99"/>
      <c r="E4" s="99"/>
      <c r="F4" s="30"/>
      <c r="G4" s="102" t="s">
        <v>611</v>
      </c>
      <c r="H4" s="102"/>
      <c r="I4" s="103"/>
      <c r="J4" s="104"/>
      <c r="K4" s="105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</row>
    <row r="5" spans="2:32">
      <c r="B5" s="96" t="s">
        <v>52</v>
      </c>
      <c r="C5" s="97"/>
      <c r="D5" s="98"/>
      <c r="E5" s="98"/>
      <c r="F5" s="30"/>
      <c r="G5" s="101"/>
      <c r="H5" s="101"/>
      <c r="I5" s="101"/>
      <c r="J5" s="101"/>
      <c r="K5" s="101"/>
      <c r="L5" s="34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</row>
    <row r="6" spans="2:32" s="11" customFormat="1" ht="24.75" customHeight="1">
      <c r="B6" s="63" t="s">
        <v>126</v>
      </c>
      <c r="C6" s="63" t="s">
        <v>53</v>
      </c>
      <c r="D6" s="63" t="s">
        <v>54</v>
      </c>
      <c r="E6" s="63" t="s">
        <v>55</v>
      </c>
      <c r="F6" s="63" t="s">
        <v>56</v>
      </c>
      <c r="G6" s="88" t="s">
        <v>57</v>
      </c>
      <c r="H6" s="88" t="s">
        <v>58</v>
      </c>
      <c r="I6" s="89" t="s">
        <v>127</v>
      </c>
      <c r="J6" s="89" t="s">
        <v>128</v>
      </c>
      <c r="K6" s="90" t="s">
        <v>129</v>
      </c>
      <c r="L6" s="64" t="s">
        <v>3</v>
      </c>
      <c r="M6" s="94" t="s">
        <v>130</v>
      </c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5"/>
    </row>
    <row r="7" spans="2:32">
      <c r="B7" s="61">
        <f>ROW()-6</f>
        <v>1</v>
      </c>
      <c r="C7" s="62"/>
      <c r="D7" s="62"/>
      <c r="E7" s="65"/>
      <c r="F7" s="66"/>
      <c r="G7" s="66"/>
      <c r="H7" s="67"/>
      <c r="I7" s="68"/>
      <c r="J7" s="68"/>
      <c r="K7" s="68"/>
      <c r="L7" s="69"/>
      <c r="M7" s="70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71"/>
    </row>
    <row r="8" spans="2:32">
      <c r="B8" s="61">
        <f>ROW()-6</f>
        <v>2</v>
      </c>
      <c r="C8" s="62"/>
      <c r="D8" s="62"/>
      <c r="E8" s="65"/>
      <c r="F8" s="66"/>
      <c r="G8" s="66"/>
      <c r="H8" s="67"/>
      <c r="I8" s="68"/>
      <c r="J8" s="68"/>
      <c r="K8" s="68"/>
      <c r="L8" s="69"/>
      <c r="M8" s="70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71"/>
    </row>
    <row r="9" spans="2:32">
      <c r="B9" s="61">
        <f>ROW()-6</f>
        <v>3</v>
      </c>
      <c r="C9" s="62"/>
      <c r="D9" s="62"/>
      <c r="E9" s="65"/>
      <c r="F9" s="66"/>
      <c r="G9" s="66"/>
      <c r="H9" s="67"/>
      <c r="I9" s="68"/>
      <c r="J9" s="68"/>
      <c r="K9" s="68"/>
      <c r="L9" s="69"/>
      <c r="M9" s="70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71"/>
    </row>
    <row r="10" spans="2:32">
      <c r="B10" s="61">
        <f t="shared" ref="B10:B51" si="0">ROW()-6</f>
        <v>4</v>
      </c>
      <c r="C10" s="62"/>
      <c r="D10" s="62"/>
      <c r="E10" s="65"/>
      <c r="F10" s="66"/>
      <c r="G10" s="66"/>
      <c r="H10" s="67"/>
      <c r="I10" s="68"/>
      <c r="J10" s="68"/>
      <c r="K10" s="68"/>
      <c r="L10" s="69"/>
      <c r="M10" s="70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71"/>
    </row>
    <row r="11" spans="2:32">
      <c r="B11" s="61">
        <f t="shared" si="0"/>
        <v>5</v>
      </c>
      <c r="C11" s="62"/>
      <c r="D11" s="62"/>
      <c r="E11" s="65"/>
      <c r="F11" s="66"/>
      <c r="G11" s="66"/>
      <c r="H11" s="67"/>
      <c r="I11" s="68"/>
      <c r="J11" s="68"/>
      <c r="K11" s="68"/>
      <c r="L11" s="69"/>
      <c r="M11" s="70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71"/>
    </row>
    <row r="12" spans="2:32">
      <c r="B12" s="61">
        <f t="shared" si="0"/>
        <v>6</v>
      </c>
      <c r="C12" s="62"/>
      <c r="D12" s="62"/>
      <c r="E12" s="65"/>
      <c r="F12" s="66"/>
      <c r="G12" s="66"/>
      <c r="H12" s="67"/>
      <c r="I12" s="68"/>
      <c r="J12" s="68"/>
      <c r="K12" s="68"/>
      <c r="L12" s="69"/>
      <c r="M12" s="70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71"/>
    </row>
    <row r="13" spans="2:32">
      <c r="B13" s="61">
        <f t="shared" si="0"/>
        <v>7</v>
      </c>
      <c r="C13" s="62"/>
      <c r="D13" s="62"/>
      <c r="E13" s="65"/>
      <c r="F13" s="66"/>
      <c r="G13" s="66"/>
      <c r="H13" s="67"/>
      <c r="I13" s="68"/>
      <c r="J13" s="68"/>
      <c r="K13" s="68"/>
      <c r="L13" s="69"/>
      <c r="M13" s="70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71"/>
    </row>
    <row r="14" spans="2:32">
      <c r="B14" s="61">
        <f t="shared" si="0"/>
        <v>8</v>
      </c>
      <c r="C14" s="62"/>
      <c r="D14" s="62"/>
      <c r="E14" s="65"/>
      <c r="F14" s="66"/>
      <c r="G14" s="66"/>
      <c r="H14" s="67"/>
      <c r="I14" s="68"/>
      <c r="J14" s="68"/>
      <c r="K14" s="68"/>
      <c r="L14" s="69"/>
      <c r="M14" s="70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71"/>
    </row>
    <row r="15" spans="2:32">
      <c r="B15" s="61">
        <f t="shared" si="0"/>
        <v>9</v>
      </c>
      <c r="C15" s="62"/>
      <c r="D15" s="62"/>
      <c r="E15" s="65"/>
      <c r="F15" s="66"/>
      <c r="G15" s="66"/>
      <c r="H15" s="67"/>
      <c r="I15" s="68"/>
      <c r="J15" s="68"/>
      <c r="K15" s="68"/>
      <c r="L15" s="69"/>
      <c r="M15" s="70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71"/>
    </row>
    <row r="16" spans="2:32">
      <c r="B16" s="61">
        <f t="shared" si="0"/>
        <v>10</v>
      </c>
      <c r="C16" s="62"/>
      <c r="D16" s="62"/>
      <c r="E16" s="65"/>
      <c r="F16" s="66"/>
      <c r="G16" s="66"/>
      <c r="H16" s="67"/>
      <c r="I16" s="68"/>
      <c r="J16" s="68"/>
      <c r="K16" s="68"/>
      <c r="L16" s="69"/>
      <c r="M16" s="70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71"/>
    </row>
    <row r="17" spans="2:32">
      <c r="B17" s="61">
        <f t="shared" si="0"/>
        <v>11</v>
      </c>
      <c r="C17" s="62"/>
      <c r="D17" s="62"/>
      <c r="E17" s="65"/>
      <c r="F17" s="66"/>
      <c r="G17" s="66"/>
      <c r="H17" s="67"/>
      <c r="I17" s="68"/>
      <c r="J17" s="68"/>
      <c r="K17" s="68"/>
      <c r="L17" s="69"/>
      <c r="M17" s="70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71"/>
    </row>
    <row r="18" spans="2:32">
      <c r="B18" s="61">
        <f t="shared" si="0"/>
        <v>12</v>
      </c>
      <c r="C18" s="62"/>
      <c r="D18" s="62"/>
      <c r="E18" s="65"/>
      <c r="F18" s="66"/>
      <c r="G18" s="66"/>
      <c r="H18" s="67"/>
      <c r="I18" s="68"/>
      <c r="J18" s="68"/>
      <c r="K18" s="68"/>
      <c r="L18" s="69"/>
      <c r="M18" s="70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71"/>
    </row>
    <row r="19" spans="2:32">
      <c r="B19" s="61">
        <f t="shared" si="0"/>
        <v>13</v>
      </c>
      <c r="C19" s="62"/>
      <c r="D19" s="62"/>
      <c r="E19" s="65"/>
      <c r="F19" s="66"/>
      <c r="G19" s="66"/>
      <c r="H19" s="67"/>
      <c r="I19" s="68"/>
      <c r="J19" s="68"/>
      <c r="K19" s="68"/>
      <c r="L19" s="69"/>
      <c r="M19" s="70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71"/>
    </row>
    <row r="20" spans="2:32">
      <c r="B20" s="61">
        <f t="shared" si="0"/>
        <v>14</v>
      </c>
      <c r="C20" s="62"/>
      <c r="D20" s="62"/>
      <c r="E20" s="65"/>
      <c r="F20" s="66"/>
      <c r="G20" s="66"/>
      <c r="H20" s="67"/>
      <c r="I20" s="68"/>
      <c r="J20" s="68"/>
      <c r="K20" s="68"/>
      <c r="L20" s="69"/>
      <c r="M20" s="70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71"/>
    </row>
    <row r="21" spans="2:32">
      <c r="B21" s="61">
        <f t="shared" si="0"/>
        <v>15</v>
      </c>
      <c r="C21" s="62"/>
      <c r="D21" s="62"/>
      <c r="E21" s="65"/>
      <c r="F21" s="66"/>
      <c r="G21" s="66"/>
      <c r="H21" s="67"/>
      <c r="I21" s="68"/>
      <c r="J21" s="68"/>
      <c r="K21" s="68"/>
      <c r="L21" s="69"/>
      <c r="M21" s="70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71"/>
    </row>
    <row r="22" spans="2:32">
      <c r="B22" s="61">
        <f t="shared" si="0"/>
        <v>16</v>
      </c>
      <c r="C22" s="62"/>
      <c r="D22" s="62"/>
      <c r="E22" s="65"/>
      <c r="F22" s="66"/>
      <c r="G22" s="66"/>
      <c r="H22" s="67"/>
      <c r="I22" s="68"/>
      <c r="J22" s="68"/>
      <c r="K22" s="68"/>
      <c r="L22" s="69"/>
      <c r="M22" s="70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71"/>
    </row>
    <row r="23" spans="2:32">
      <c r="B23" s="61">
        <f t="shared" si="0"/>
        <v>17</v>
      </c>
      <c r="C23" s="62"/>
      <c r="D23" s="62"/>
      <c r="E23" s="65"/>
      <c r="F23" s="66"/>
      <c r="G23" s="66"/>
      <c r="H23" s="67"/>
      <c r="I23" s="68"/>
      <c r="J23" s="68"/>
      <c r="K23" s="68"/>
      <c r="L23" s="69"/>
      <c r="M23" s="70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71"/>
    </row>
    <row r="24" spans="2:32">
      <c r="B24" s="61">
        <f t="shared" si="0"/>
        <v>18</v>
      </c>
      <c r="C24" s="62"/>
      <c r="D24" s="62"/>
      <c r="E24" s="65"/>
      <c r="F24" s="66"/>
      <c r="G24" s="66"/>
      <c r="H24" s="67"/>
      <c r="I24" s="68"/>
      <c r="J24" s="68"/>
      <c r="K24" s="68"/>
      <c r="L24" s="69"/>
      <c r="M24" s="70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71"/>
    </row>
    <row r="25" spans="2:32">
      <c r="B25" s="61">
        <f t="shared" si="0"/>
        <v>19</v>
      </c>
      <c r="C25" s="62"/>
      <c r="D25" s="62"/>
      <c r="E25" s="65"/>
      <c r="F25" s="66"/>
      <c r="G25" s="66"/>
      <c r="H25" s="67"/>
      <c r="I25" s="68"/>
      <c r="J25" s="68"/>
      <c r="K25" s="68"/>
      <c r="L25" s="69"/>
      <c r="M25" s="70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71"/>
    </row>
    <row r="26" spans="2:32">
      <c r="B26" s="61">
        <f t="shared" si="0"/>
        <v>20</v>
      </c>
      <c r="C26" s="62"/>
      <c r="D26" s="62"/>
      <c r="E26" s="65"/>
      <c r="F26" s="66"/>
      <c r="G26" s="66"/>
      <c r="H26" s="67"/>
      <c r="I26" s="68"/>
      <c r="J26" s="68"/>
      <c r="K26" s="68"/>
      <c r="L26" s="69"/>
      <c r="M26" s="70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71"/>
    </row>
    <row r="27" spans="2:32">
      <c r="B27" s="61">
        <f t="shared" si="0"/>
        <v>21</v>
      </c>
      <c r="C27" s="62"/>
      <c r="D27" s="62"/>
      <c r="E27" s="65"/>
      <c r="F27" s="66"/>
      <c r="G27" s="66"/>
      <c r="H27" s="67"/>
      <c r="I27" s="68"/>
      <c r="J27" s="68"/>
      <c r="K27" s="68"/>
      <c r="L27" s="69"/>
      <c r="M27" s="70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71"/>
    </row>
    <row r="28" spans="2:32">
      <c r="B28" s="61">
        <f t="shared" si="0"/>
        <v>22</v>
      </c>
      <c r="C28" s="62"/>
      <c r="D28" s="62"/>
      <c r="E28" s="65"/>
      <c r="F28" s="66"/>
      <c r="G28" s="66"/>
      <c r="H28" s="67"/>
      <c r="I28" s="68"/>
      <c r="J28" s="68"/>
      <c r="K28" s="68"/>
      <c r="L28" s="69"/>
      <c r="M28" s="70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71"/>
    </row>
    <row r="29" spans="2:32">
      <c r="B29" s="61">
        <f t="shared" si="0"/>
        <v>23</v>
      </c>
      <c r="C29" s="62"/>
      <c r="D29" s="62"/>
      <c r="E29" s="65"/>
      <c r="F29" s="66"/>
      <c r="G29" s="66"/>
      <c r="H29" s="67"/>
      <c r="I29" s="68"/>
      <c r="J29" s="68"/>
      <c r="K29" s="68"/>
      <c r="L29" s="69"/>
      <c r="M29" s="70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71"/>
    </row>
    <row r="30" spans="2:32">
      <c r="B30" s="61">
        <f t="shared" si="0"/>
        <v>24</v>
      </c>
      <c r="C30" s="62"/>
      <c r="D30" s="62"/>
      <c r="E30" s="65"/>
      <c r="F30" s="66"/>
      <c r="G30" s="66"/>
      <c r="H30" s="67"/>
      <c r="I30" s="68"/>
      <c r="J30" s="68"/>
      <c r="K30" s="68"/>
      <c r="L30" s="69"/>
      <c r="M30" s="70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71"/>
    </row>
    <row r="31" spans="2:32">
      <c r="B31" s="61">
        <f t="shared" si="0"/>
        <v>25</v>
      </c>
      <c r="C31" s="62"/>
      <c r="D31" s="62"/>
      <c r="E31" s="65"/>
      <c r="F31" s="66"/>
      <c r="G31" s="66"/>
      <c r="H31" s="67"/>
      <c r="I31" s="68"/>
      <c r="J31" s="68"/>
      <c r="K31" s="68"/>
      <c r="L31" s="69"/>
      <c r="M31" s="70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71"/>
    </row>
    <row r="32" spans="2:32">
      <c r="B32" s="61">
        <f t="shared" si="0"/>
        <v>26</v>
      </c>
      <c r="C32" s="62"/>
      <c r="D32" s="62"/>
      <c r="E32" s="65"/>
      <c r="F32" s="66"/>
      <c r="G32" s="66"/>
      <c r="H32" s="67"/>
      <c r="I32" s="68"/>
      <c r="J32" s="68"/>
      <c r="K32" s="68"/>
      <c r="L32" s="69"/>
      <c r="M32" s="70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71"/>
    </row>
    <row r="33" spans="2:32">
      <c r="B33" s="61">
        <f t="shared" si="0"/>
        <v>27</v>
      </c>
      <c r="C33" s="62"/>
      <c r="D33" s="62"/>
      <c r="E33" s="65"/>
      <c r="F33" s="66"/>
      <c r="G33" s="66"/>
      <c r="H33" s="67"/>
      <c r="I33" s="68"/>
      <c r="J33" s="68"/>
      <c r="K33" s="68"/>
      <c r="L33" s="69"/>
      <c r="M33" s="70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71"/>
    </row>
    <row r="34" spans="2:32">
      <c r="B34" s="61">
        <f t="shared" si="0"/>
        <v>28</v>
      </c>
      <c r="C34" s="62"/>
      <c r="D34" s="62"/>
      <c r="E34" s="65"/>
      <c r="F34" s="66"/>
      <c r="G34" s="66"/>
      <c r="H34" s="67"/>
      <c r="I34" s="68"/>
      <c r="J34" s="68"/>
      <c r="K34" s="68"/>
      <c r="L34" s="69"/>
      <c r="M34" s="70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71"/>
    </row>
    <row r="35" spans="2:32">
      <c r="B35" s="61">
        <f t="shared" si="0"/>
        <v>29</v>
      </c>
      <c r="C35" s="62"/>
      <c r="D35" s="62"/>
      <c r="E35" s="65"/>
      <c r="F35" s="66"/>
      <c r="G35" s="66"/>
      <c r="H35" s="67"/>
      <c r="I35" s="68"/>
      <c r="J35" s="68"/>
      <c r="K35" s="68"/>
      <c r="L35" s="69"/>
      <c r="M35" s="70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71"/>
    </row>
    <row r="36" spans="2:32">
      <c r="B36" s="61">
        <f t="shared" si="0"/>
        <v>30</v>
      </c>
      <c r="C36" s="62"/>
      <c r="D36" s="62"/>
      <c r="E36" s="65"/>
      <c r="F36" s="66"/>
      <c r="G36" s="66"/>
      <c r="H36" s="67"/>
      <c r="I36" s="68"/>
      <c r="J36" s="68"/>
      <c r="K36" s="68"/>
      <c r="L36" s="69"/>
      <c r="M36" s="70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71"/>
    </row>
    <row r="37" spans="2:32">
      <c r="B37" s="61">
        <f t="shared" si="0"/>
        <v>31</v>
      </c>
      <c r="C37" s="62"/>
      <c r="D37" s="62"/>
      <c r="E37" s="65"/>
      <c r="F37" s="66"/>
      <c r="G37" s="66"/>
      <c r="H37" s="67"/>
      <c r="I37" s="68"/>
      <c r="J37" s="68"/>
      <c r="K37" s="68"/>
      <c r="L37" s="69"/>
      <c r="M37" s="70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71"/>
    </row>
    <row r="38" spans="2:32">
      <c r="B38" s="61">
        <f t="shared" si="0"/>
        <v>32</v>
      </c>
      <c r="C38" s="62"/>
      <c r="D38" s="62"/>
      <c r="E38" s="65"/>
      <c r="F38" s="66"/>
      <c r="G38" s="66"/>
      <c r="H38" s="67"/>
      <c r="I38" s="68"/>
      <c r="J38" s="68"/>
      <c r="K38" s="68"/>
      <c r="L38" s="69"/>
      <c r="M38" s="70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71"/>
    </row>
    <row r="39" spans="2:32">
      <c r="B39" s="61">
        <f t="shared" si="0"/>
        <v>33</v>
      </c>
      <c r="C39" s="62"/>
      <c r="D39" s="62"/>
      <c r="E39" s="65"/>
      <c r="F39" s="66"/>
      <c r="G39" s="66"/>
      <c r="H39" s="67"/>
      <c r="I39" s="68"/>
      <c r="J39" s="68"/>
      <c r="K39" s="68"/>
      <c r="L39" s="69"/>
      <c r="M39" s="70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71"/>
    </row>
    <row r="40" spans="2:32">
      <c r="B40" s="61">
        <f t="shared" si="0"/>
        <v>34</v>
      </c>
      <c r="C40" s="62"/>
      <c r="D40" s="62"/>
      <c r="E40" s="65"/>
      <c r="F40" s="66"/>
      <c r="G40" s="66"/>
      <c r="H40" s="67"/>
      <c r="I40" s="68"/>
      <c r="J40" s="68"/>
      <c r="K40" s="68"/>
      <c r="L40" s="69"/>
      <c r="M40" s="70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71"/>
    </row>
    <row r="41" spans="2:32">
      <c r="B41" s="61">
        <f t="shared" si="0"/>
        <v>35</v>
      </c>
      <c r="C41" s="62"/>
      <c r="D41" s="62"/>
      <c r="E41" s="65"/>
      <c r="F41" s="66"/>
      <c r="G41" s="66"/>
      <c r="H41" s="67"/>
      <c r="I41" s="68"/>
      <c r="J41" s="68"/>
      <c r="K41" s="68"/>
      <c r="L41" s="69"/>
      <c r="M41" s="70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71"/>
    </row>
    <row r="42" spans="2:32">
      <c r="B42" s="61">
        <f t="shared" si="0"/>
        <v>36</v>
      </c>
      <c r="C42" s="62"/>
      <c r="D42" s="62"/>
      <c r="E42" s="65"/>
      <c r="F42" s="66"/>
      <c r="G42" s="66"/>
      <c r="H42" s="67"/>
      <c r="I42" s="68"/>
      <c r="J42" s="68"/>
      <c r="K42" s="68"/>
      <c r="L42" s="69"/>
      <c r="M42" s="70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71"/>
    </row>
    <row r="43" spans="2:32">
      <c r="B43" s="61">
        <f t="shared" si="0"/>
        <v>37</v>
      </c>
      <c r="C43" s="62"/>
      <c r="D43" s="62"/>
      <c r="E43" s="65"/>
      <c r="F43" s="66"/>
      <c r="G43" s="66"/>
      <c r="H43" s="67"/>
      <c r="I43" s="68"/>
      <c r="J43" s="68"/>
      <c r="K43" s="68"/>
      <c r="L43" s="69"/>
      <c r="M43" s="70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71"/>
    </row>
    <row r="44" spans="2:32">
      <c r="B44" s="61">
        <f t="shared" si="0"/>
        <v>38</v>
      </c>
      <c r="C44" s="62"/>
      <c r="D44" s="62"/>
      <c r="E44" s="65"/>
      <c r="F44" s="66"/>
      <c r="G44" s="66"/>
      <c r="H44" s="67"/>
      <c r="I44" s="68"/>
      <c r="J44" s="68"/>
      <c r="K44" s="68"/>
      <c r="L44" s="69"/>
      <c r="M44" s="70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71"/>
    </row>
    <row r="45" spans="2:32">
      <c r="B45" s="61">
        <f t="shared" si="0"/>
        <v>39</v>
      </c>
      <c r="C45" s="62"/>
      <c r="D45" s="62"/>
      <c r="E45" s="65"/>
      <c r="F45" s="66"/>
      <c r="G45" s="66"/>
      <c r="H45" s="67"/>
      <c r="I45" s="68"/>
      <c r="J45" s="68"/>
      <c r="K45" s="68"/>
      <c r="L45" s="69"/>
      <c r="M45" s="70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71"/>
    </row>
    <row r="46" spans="2:32">
      <c r="B46" s="61">
        <f t="shared" si="0"/>
        <v>40</v>
      </c>
      <c r="C46" s="62"/>
      <c r="D46" s="62"/>
      <c r="E46" s="65"/>
      <c r="F46" s="66"/>
      <c r="G46" s="66"/>
      <c r="H46" s="67"/>
      <c r="I46" s="68"/>
      <c r="J46" s="68"/>
      <c r="K46" s="68"/>
      <c r="L46" s="69"/>
      <c r="M46" s="70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71"/>
    </row>
    <row r="47" spans="2:32">
      <c r="B47" s="61">
        <f t="shared" si="0"/>
        <v>41</v>
      </c>
      <c r="C47" s="62"/>
      <c r="D47" s="62"/>
      <c r="E47" s="65"/>
      <c r="F47" s="66"/>
      <c r="G47" s="66"/>
      <c r="H47" s="67"/>
      <c r="I47" s="68"/>
      <c r="J47" s="68"/>
      <c r="K47" s="68"/>
      <c r="L47" s="69"/>
      <c r="M47" s="70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71"/>
    </row>
    <row r="48" spans="2:32">
      <c r="B48" s="61">
        <f t="shared" si="0"/>
        <v>42</v>
      </c>
      <c r="C48" s="62"/>
      <c r="D48" s="62"/>
      <c r="E48" s="65"/>
      <c r="F48" s="66"/>
      <c r="G48" s="66"/>
      <c r="H48" s="67"/>
      <c r="I48" s="68"/>
      <c r="J48" s="68"/>
      <c r="K48" s="68"/>
      <c r="L48" s="69"/>
      <c r="M48" s="70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71"/>
    </row>
    <row r="49" spans="2:32">
      <c r="B49" s="61">
        <f t="shared" si="0"/>
        <v>43</v>
      </c>
      <c r="C49" s="62"/>
      <c r="D49" s="62"/>
      <c r="E49" s="65"/>
      <c r="F49" s="66"/>
      <c r="G49" s="66"/>
      <c r="H49" s="67"/>
      <c r="I49" s="68"/>
      <c r="J49" s="68"/>
      <c r="K49" s="68"/>
      <c r="L49" s="69"/>
      <c r="M49" s="70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71"/>
    </row>
    <row r="50" spans="2:32">
      <c r="B50" s="61">
        <f t="shared" si="0"/>
        <v>44</v>
      </c>
      <c r="C50" s="62"/>
      <c r="D50" s="62"/>
      <c r="E50" s="65"/>
      <c r="F50" s="66"/>
      <c r="G50" s="66"/>
      <c r="H50" s="67"/>
      <c r="I50" s="68"/>
      <c r="J50" s="68"/>
      <c r="K50" s="68"/>
      <c r="L50" s="69"/>
      <c r="M50" s="70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71"/>
    </row>
    <row r="51" spans="2:32">
      <c r="B51" s="72">
        <f t="shared" si="0"/>
        <v>45</v>
      </c>
      <c r="C51" s="73"/>
      <c r="D51" s="73"/>
      <c r="E51" s="74"/>
      <c r="F51" s="75"/>
      <c r="G51" s="75"/>
      <c r="H51" s="76"/>
      <c r="I51" s="77"/>
      <c r="J51" s="77"/>
      <c r="K51" s="77"/>
      <c r="L51" s="78"/>
      <c r="M51" s="79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80"/>
    </row>
    <row r="52" spans="2:32">
      <c r="B52" s="54"/>
      <c r="C52" s="55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</row>
  </sheetData>
  <mergeCells count="12">
    <mergeCell ref="M6:AF6"/>
    <mergeCell ref="B5:C5"/>
    <mergeCell ref="D5:E5"/>
    <mergeCell ref="D2:E2"/>
    <mergeCell ref="I2:K2"/>
    <mergeCell ref="D3:E3"/>
    <mergeCell ref="I3:K3"/>
    <mergeCell ref="D4:E4"/>
    <mergeCell ref="G5:H5"/>
    <mergeCell ref="G4:H4"/>
    <mergeCell ref="I5:K5"/>
    <mergeCell ref="I4:K4"/>
  </mergeCells>
  <phoneticPr fontId="1"/>
  <pageMargins left="0.7" right="0.7" top="0.75" bottom="0.75" header="0.3" footer="0.3"/>
  <pageSetup paperSize="9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91" r:id="rId4" name="Button 15">
              <controlPr defaultSize="0" print="0" autoFill="0" autoPict="0" macro="[0]!TbGoToTableList">
                <anchor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2</xdr:col>
                    <xdr:colOff>1304925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5" name="Button 16">
              <controlPr defaultSize="0" print="0" autoFill="0" autoPict="0" macro="[0]!TbAddItem">
                <anchor>
                  <from>
                    <xdr:col>2</xdr:col>
                    <xdr:colOff>1524000</xdr:colOff>
                    <xdr:row>0</xdr:row>
                    <xdr:rowOff>57150</xdr:rowOff>
                  </from>
                  <to>
                    <xdr:col>3</xdr:col>
                    <xdr:colOff>238125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6" name="Button 17">
              <controlPr defaultSize="0" print="0" autoFill="0" autoPict="0" macro="[0]!TbDeleteItem">
                <anchor>
                  <from>
                    <xdr:col>3</xdr:col>
                    <xdr:colOff>352425</xdr:colOff>
                    <xdr:row>0</xdr:row>
                    <xdr:rowOff>57150</xdr:rowOff>
                  </from>
                  <to>
                    <xdr:col>3</xdr:col>
                    <xdr:colOff>1419225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7" name="Button 18">
              <controlPr defaultSize="0" print="0" autoFill="0" autoPict="0" macro="[0]!TbStrConvJ2E">
                <anchor>
                  <from>
                    <xdr:col>4</xdr:col>
                    <xdr:colOff>19050</xdr:colOff>
                    <xdr:row>0</xdr:row>
                    <xdr:rowOff>57150</xdr:rowOff>
                  </from>
                  <to>
                    <xdr:col>5</xdr:col>
                    <xdr:colOff>285750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8" name="Button 19">
              <controlPr defaultSize="0" print="0" autoFill="0" autoPict="0" macro="[0]!TbStrConvE2J">
                <anchor>
                  <from>
                    <xdr:col>6</xdr:col>
                    <xdr:colOff>171450</xdr:colOff>
                    <xdr:row>0</xdr:row>
                    <xdr:rowOff>57150</xdr:rowOff>
                  </from>
                  <to>
                    <xdr:col>8</xdr:col>
                    <xdr:colOff>552450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9" name="Button 20">
              <controlPr defaultSize="0" print="0" autoFill="0" autoPict="0" macro="[0]!TbDBImportTable">
                <anchor>
                  <from>
                    <xdr:col>11</xdr:col>
                    <xdr:colOff>828675</xdr:colOff>
                    <xdr:row>0</xdr:row>
                    <xdr:rowOff>47625</xdr:rowOff>
                  </from>
                  <to>
                    <xdr:col>11</xdr:col>
                    <xdr:colOff>2705100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10" name="Button 21">
              <controlPr defaultSize="0" print="0" autoFill="0" autoPict="0" macro="[0]!TbSQLOutput">
                <anchor>
                  <from>
                    <xdr:col>11</xdr:col>
                    <xdr:colOff>2876550</xdr:colOff>
                    <xdr:row>0</xdr:row>
                    <xdr:rowOff>38100</xdr:rowOff>
                  </from>
                  <to>
                    <xdr:col>15</xdr:col>
                    <xdr:colOff>257175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1" name="Button 24">
              <controlPr defaultSize="0" print="0" autoFill="0" autoPict="0" macro="[0]!TbMakeSQL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11</xdr:col>
                    <xdr:colOff>409575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12" name="Group Box 28">
              <controlPr defaultSize="0" autoFill="0" autoPict="0">
                <anchor moveWithCells="1">
                  <from>
                    <xdr:col>11</xdr:col>
                    <xdr:colOff>342900</xdr:colOff>
                    <xdr:row>1</xdr:row>
                    <xdr:rowOff>0</xdr:rowOff>
                  </from>
                  <to>
                    <xdr:col>18</xdr:col>
                    <xdr:colOff>95250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13" name="cbTableBackup">
              <controlPr defaultSize="0" autoFill="0" autoLine="0" autoPict="0">
                <anchor moveWithCells="1">
                  <from>
                    <xdr:col>11</xdr:col>
                    <xdr:colOff>466725</xdr:colOff>
                    <xdr:row>1</xdr:row>
                    <xdr:rowOff>142875</xdr:rowOff>
                  </from>
                  <to>
                    <xdr:col>11</xdr:col>
                    <xdr:colOff>1628775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14" name="cbTableRestore">
              <controlPr defaultSize="0" autoFill="0" autoLine="0" autoPict="0">
                <anchor moveWithCells="1">
                  <from>
                    <xdr:col>11</xdr:col>
                    <xdr:colOff>466725</xdr:colOff>
                    <xdr:row>3</xdr:row>
                    <xdr:rowOff>38100</xdr:rowOff>
                  </from>
                  <to>
                    <xdr:col>11</xdr:col>
                    <xdr:colOff>1628775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15" name="cbTableComment">
              <controlPr defaultSize="0" autoFill="0" autoLine="0" autoPict="0" altText="テーブルのコメント">
                <anchor moveWithCells="1">
                  <from>
                    <xdr:col>11</xdr:col>
                    <xdr:colOff>1743075</xdr:colOff>
                    <xdr:row>1</xdr:row>
                    <xdr:rowOff>142875</xdr:rowOff>
                  </from>
                  <to>
                    <xdr:col>12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16" name="cbInsUpdTrg">
              <controlPr defaultSize="0" autoFill="0" autoLine="0" autoPict="0" altText="インサート, アップデートトリガー">
                <anchor moveWithCells="1">
                  <from>
                    <xdr:col>11</xdr:col>
                    <xdr:colOff>2886075</xdr:colOff>
                    <xdr:row>1</xdr:row>
                    <xdr:rowOff>142875</xdr:rowOff>
                  </from>
                  <to>
                    <xdr:col>15</xdr:col>
                    <xdr:colOff>200025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17" name="cbLogOutputTrg">
              <controlPr defaultSize="0" autoFill="0" autoLine="0" autoPict="0" altText="ログテーブル出力_x000a_">
                <anchor moveWithCells="1">
                  <from>
                    <xdr:col>11</xdr:col>
                    <xdr:colOff>2886075</xdr:colOff>
                    <xdr:row>3</xdr:row>
                    <xdr:rowOff>28575</xdr:rowOff>
                  </from>
                  <to>
                    <xdr:col>15</xdr:col>
                    <xdr:colOff>200025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18" name="Button 35">
              <controlPr defaultSize="0" print="0" autoFill="0" autoPict="0" macro="[0]!TbCROption_AllOn_Click" altText="全項目OFF">
                <anchor moveWithCells="1" sizeWithCells="1">
                  <from>
                    <xdr:col>15</xdr:col>
                    <xdr:colOff>152400</xdr:colOff>
                    <xdr:row>1</xdr:row>
                    <xdr:rowOff>85725</xdr:rowOff>
                  </from>
                  <to>
                    <xdr:col>17</xdr:col>
                    <xdr:colOff>266700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19" name="Button 36">
              <controlPr defaultSize="0" print="0" autoFill="0" autoPict="0" macro="[0]!TbCROption_AllOff_Click" altText="全項目OFF">
                <anchor moveWithCells="1" sizeWithCells="1">
                  <from>
                    <xdr:col>15</xdr:col>
                    <xdr:colOff>161925</xdr:colOff>
                    <xdr:row>3</xdr:row>
                    <xdr:rowOff>19050</xdr:rowOff>
                  </from>
                  <to>
                    <xdr:col>17</xdr:col>
                    <xdr:colOff>276225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テーブル仕様書_トリガー設定"/>
  <dimension ref="B1:K49"/>
  <sheetViews>
    <sheetView zoomScale="115" zoomScaleNormal="115" zoomScaleSheetLayoutView="95" workbookViewId="0">
      <selection activeCell="C29" sqref="C29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5" width="13.25" customWidth="1"/>
    <col min="6" max="7" width="5.75" bestFit="1" customWidth="1"/>
    <col min="8" max="9" width="6.125" customWidth="1"/>
    <col min="10" max="10" width="102.375" customWidth="1"/>
    <col min="11" max="11" width="11.75" customWidth="1"/>
    <col min="12" max="12" width="4.5" customWidth="1"/>
  </cols>
  <sheetData>
    <row r="1" spans="2:11">
      <c r="B1" t="s">
        <v>155</v>
      </c>
    </row>
    <row r="2" spans="2:11">
      <c r="B2" s="3" t="s">
        <v>151</v>
      </c>
      <c r="C2" s="3" t="s">
        <v>146</v>
      </c>
      <c r="D2" s="3" t="s">
        <v>150</v>
      </c>
      <c r="E2" s="3" t="s">
        <v>536</v>
      </c>
      <c r="F2" s="3" t="s">
        <v>537</v>
      </c>
      <c r="G2" s="3" t="s">
        <v>538</v>
      </c>
      <c r="H2" s="3" t="s">
        <v>147</v>
      </c>
      <c r="I2" s="3" t="s">
        <v>148</v>
      </c>
      <c r="J2" s="3" t="s">
        <v>153</v>
      </c>
      <c r="K2" s="3" t="s">
        <v>149</v>
      </c>
    </row>
    <row r="3" spans="2:11">
      <c r="B3" s="21">
        <f>ROW()-2</f>
        <v>1</v>
      </c>
      <c r="C3" s="2" t="s">
        <v>133</v>
      </c>
      <c r="D3" s="2" t="s">
        <v>152</v>
      </c>
      <c r="E3" s="2" t="s">
        <v>539</v>
      </c>
      <c r="F3" s="2"/>
      <c r="G3" s="2"/>
      <c r="H3" s="21" t="s">
        <v>131</v>
      </c>
      <c r="I3" s="21"/>
      <c r="J3" s="2" t="s">
        <v>204</v>
      </c>
      <c r="K3" s="2" t="s">
        <v>157</v>
      </c>
    </row>
    <row r="4" spans="2:11">
      <c r="B4" s="21">
        <f t="shared" ref="B4:B28" si="0">ROW()-2</f>
        <v>2</v>
      </c>
      <c r="C4" s="2" t="s">
        <v>160</v>
      </c>
      <c r="D4" s="2" t="s">
        <v>165</v>
      </c>
      <c r="E4" s="2" t="s">
        <v>540</v>
      </c>
      <c r="F4" s="2">
        <v>128</v>
      </c>
      <c r="G4" s="2"/>
      <c r="H4" s="21" t="s">
        <v>131</v>
      </c>
      <c r="I4" s="21"/>
      <c r="J4" s="2" t="s">
        <v>554</v>
      </c>
      <c r="K4" s="2" t="s">
        <v>157</v>
      </c>
    </row>
    <row r="5" spans="2:11">
      <c r="B5" s="21">
        <f t="shared" si="0"/>
        <v>3</v>
      </c>
      <c r="C5" s="2" t="s">
        <v>161</v>
      </c>
      <c r="D5" s="2" t="s">
        <v>166</v>
      </c>
      <c r="E5" s="2" t="s">
        <v>540</v>
      </c>
      <c r="F5" s="2">
        <v>128</v>
      </c>
      <c r="G5" s="2"/>
      <c r="H5" s="21" t="s">
        <v>131</v>
      </c>
      <c r="I5" s="21"/>
      <c r="J5" s="2" t="s">
        <v>555</v>
      </c>
      <c r="K5" s="2" t="s">
        <v>157</v>
      </c>
    </row>
    <row r="6" spans="2:11">
      <c r="B6" s="21">
        <f t="shared" si="0"/>
        <v>4</v>
      </c>
      <c r="C6" s="2" t="s">
        <v>162</v>
      </c>
      <c r="D6" s="2" t="s">
        <v>167</v>
      </c>
      <c r="E6" s="2" t="s">
        <v>540</v>
      </c>
      <c r="F6" s="2">
        <v>128</v>
      </c>
      <c r="G6" s="2"/>
      <c r="H6" s="21" t="s">
        <v>131</v>
      </c>
      <c r="I6" s="21"/>
      <c r="J6" s="2" t="s">
        <v>556</v>
      </c>
      <c r="K6" s="2" t="s">
        <v>157</v>
      </c>
    </row>
    <row r="7" spans="2:11">
      <c r="B7" s="21">
        <f t="shared" si="0"/>
        <v>5</v>
      </c>
      <c r="C7" s="2" t="s">
        <v>163</v>
      </c>
      <c r="D7" s="2" t="s">
        <v>168</v>
      </c>
      <c r="E7" s="2" t="s">
        <v>540</v>
      </c>
      <c r="F7" s="2">
        <v>48</v>
      </c>
      <c r="G7" s="2"/>
      <c r="H7" s="21" t="s">
        <v>131</v>
      </c>
      <c r="I7" s="21"/>
      <c r="J7" s="2" t="s">
        <v>546</v>
      </c>
      <c r="K7" s="2" t="s">
        <v>157</v>
      </c>
    </row>
    <row r="8" spans="2:11">
      <c r="B8" s="21">
        <f t="shared" si="0"/>
        <v>6</v>
      </c>
      <c r="C8" s="2" t="s">
        <v>164</v>
      </c>
      <c r="D8" s="2" t="s">
        <v>154</v>
      </c>
      <c r="E8" s="2" t="s">
        <v>540</v>
      </c>
      <c r="F8" s="2">
        <v>128</v>
      </c>
      <c r="G8" s="2"/>
      <c r="H8" s="21" t="s">
        <v>131</v>
      </c>
      <c r="I8" s="21"/>
      <c r="J8" s="2" t="s">
        <v>557</v>
      </c>
      <c r="K8" s="2" t="s">
        <v>157</v>
      </c>
    </row>
    <row r="9" spans="2:11">
      <c r="B9" s="21">
        <f t="shared" si="0"/>
        <v>7</v>
      </c>
      <c r="C9" s="2" t="s">
        <v>132</v>
      </c>
      <c r="D9" s="2" t="s">
        <v>260</v>
      </c>
      <c r="E9" s="2" t="s">
        <v>539</v>
      </c>
      <c r="F9" s="2"/>
      <c r="G9" s="2"/>
      <c r="H9" s="21" t="s">
        <v>131</v>
      </c>
      <c r="I9" s="21" t="s">
        <v>131</v>
      </c>
      <c r="J9" s="22" t="s">
        <v>261</v>
      </c>
      <c r="K9" s="2" t="s">
        <v>157</v>
      </c>
    </row>
    <row r="10" spans="2:11">
      <c r="B10" s="21">
        <f t="shared" si="0"/>
        <v>8</v>
      </c>
      <c r="C10" s="2" t="s">
        <v>169</v>
      </c>
      <c r="D10" s="2" t="s">
        <v>175</v>
      </c>
      <c r="E10" s="2" t="s">
        <v>540</v>
      </c>
      <c r="F10" s="2">
        <v>128</v>
      </c>
      <c r="G10" s="2"/>
      <c r="H10" s="21" t="s">
        <v>131</v>
      </c>
      <c r="I10" s="21" t="s">
        <v>131</v>
      </c>
      <c r="J10" s="2" t="s">
        <v>558</v>
      </c>
      <c r="K10" s="2" t="s">
        <v>157</v>
      </c>
    </row>
    <row r="11" spans="2:11">
      <c r="B11" s="21">
        <f t="shared" si="0"/>
        <v>9</v>
      </c>
      <c r="C11" s="2" t="s">
        <v>170</v>
      </c>
      <c r="D11" s="2" t="s">
        <v>176</v>
      </c>
      <c r="E11" s="2" t="s">
        <v>540</v>
      </c>
      <c r="F11" s="2">
        <v>128</v>
      </c>
      <c r="G11" s="2"/>
      <c r="H11" s="21" t="s">
        <v>131</v>
      </c>
      <c r="I11" s="21" t="s">
        <v>131</v>
      </c>
      <c r="J11" s="2" t="s">
        <v>559</v>
      </c>
      <c r="K11" s="2" t="s">
        <v>157</v>
      </c>
    </row>
    <row r="12" spans="2:11">
      <c r="B12" s="21">
        <f t="shared" si="0"/>
        <v>10</v>
      </c>
      <c r="C12" s="2" t="s">
        <v>171</v>
      </c>
      <c r="D12" s="2" t="s">
        <v>177</v>
      </c>
      <c r="E12" s="2" t="s">
        <v>540</v>
      </c>
      <c r="F12" s="2">
        <v>128</v>
      </c>
      <c r="G12" s="2"/>
      <c r="H12" s="21" t="s">
        <v>131</v>
      </c>
      <c r="I12" s="21" t="s">
        <v>131</v>
      </c>
      <c r="J12" s="2" t="s">
        <v>560</v>
      </c>
      <c r="K12" s="2" t="s">
        <v>157</v>
      </c>
    </row>
    <row r="13" spans="2:11">
      <c r="B13" s="21">
        <f t="shared" si="0"/>
        <v>11</v>
      </c>
      <c r="C13" s="2" t="s">
        <v>172</v>
      </c>
      <c r="D13" s="2" t="s">
        <v>178</v>
      </c>
      <c r="E13" s="2" t="s">
        <v>540</v>
      </c>
      <c r="F13" s="2">
        <v>48</v>
      </c>
      <c r="G13" s="2"/>
      <c r="H13" s="21" t="s">
        <v>131</v>
      </c>
      <c r="I13" s="21" t="s">
        <v>131</v>
      </c>
      <c r="J13" s="2" t="s">
        <v>547</v>
      </c>
      <c r="K13" s="2" t="s">
        <v>157</v>
      </c>
    </row>
    <row r="14" spans="2:11">
      <c r="B14" s="21">
        <f t="shared" si="0"/>
        <v>12</v>
      </c>
      <c r="C14" s="2" t="s">
        <v>173</v>
      </c>
      <c r="D14" s="2" t="s">
        <v>156</v>
      </c>
      <c r="E14" s="2" t="s">
        <v>540</v>
      </c>
      <c r="F14" s="2">
        <v>128</v>
      </c>
      <c r="G14" s="2"/>
      <c r="H14" s="21" t="s">
        <v>131</v>
      </c>
      <c r="I14" s="21" t="s">
        <v>131</v>
      </c>
      <c r="J14" s="2" t="s">
        <v>561</v>
      </c>
      <c r="K14" s="2" t="s">
        <v>157</v>
      </c>
    </row>
    <row r="15" spans="2:11">
      <c r="B15" s="21">
        <f t="shared" si="0"/>
        <v>13</v>
      </c>
      <c r="C15" s="2" t="s">
        <v>133</v>
      </c>
      <c r="D15" s="2" t="s">
        <v>152</v>
      </c>
      <c r="E15" s="2" t="s">
        <v>539</v>
      </c>
      <c r="F15" s="2"/>
      <c r="G15" s="2"/>
      <c r="H15" s="21" t="s">
        <v>131</v>
      </c>
      <c r="I15" s="21"/>
      <c r="J15" s="2" t="s">
        <v>235</v>
      </c>
      <c r="K15" s="2" t="s">
        <v>225</v>
      </c>
    </row>
    <row r="16" spans="2:11">
      <c r="B16" s="21">
        <f t="shared" si="0"/>
        <v>14</v>
      </c>
      <c r="C16" s="2" t="s">
        <v>163</v>
      </c>
      <c r="D16" s="2" t="s">
        <v>168</v>
      </c>
      <c r="E16" s="2" t="s">
        <v>542</v>
      </c>
      <c r="F16" s="2"/>
      <c r="G16" s="2"/>
      <c r="H16" s="21" t="s">
        <v>131</v>
      </c>
      <c r="I16" s="21"/>
      <c r="J16" s="2" t="s">
        <v>231</v>
      </c>
      <c r="K16" s="2" t="s">
        <v>225</v>
      </c>
    </row>
    <row r="17" spans="2:11">
      <c r="B17" s="21">
        <f t="shared" si="0"/>
        <v>15</v>
      </c>
      <c r="C17" s="2" t="s">
        <v>164</v>
      </c>
      <c r="D17" s="2" t="s">
        <v>154</v>
      </c>
      <c r="E17" s="2" t="s">
        <v>543</v>
      </c>
      <c r="F17" s="2"/>
      <c r="G17" s="2"/>
      <c r="H17" s="21" t="s">
        <v>131</v>
      </c>
      <c r="I17" s="21"/>
      <c r="J17" s="2" t="s">
        <v>228</v>
      </c>
      <c r="K17" s="2" t="s">
        <v>225</v>
      </c>
    </row>
    <row r="18" spans="2:11">
      <c r="B18" s="21">
        <f t="shared" si="0"/>
        <v>16</v>
      </c>
      <c r="C18" s="2" t="s">
        <v>132</v>
      </c>
      <c r="D18" s="2" t="s">
        <v>174</v>
      </c>
      <c r="E18" s="2" t="s">
        <v>539</v>
      </c>
      <c r="F18" s="2"/>
      <c r="G18" s="2"/>
      <c r="H18" s="21" t="s">
        <v>131</v>
      </c>
      <c r="I18" s="21" t="s">
        <v>131</v>
      </c>
      <c r="J18" s="2" t="s">
        <v>236</v>
      </c>
      <c r="K18" s="2" t="s">
        <v>225</v>
      </c>
    </row>
    <row r="19" spans="2:11">
      <c r="B19" s="21">
        <f t="shared" si="0"/>
        <v>17</v>
      </c>
      <c r="C19" s="2" t="s">
        <v>172</v>
      </c>
      <c r="D19" s="2" t="s">
        <v>178</v>
      </c>
      <c r="E19" s="2" t="s">
        <v>542</v>
      </c>
      <c r="F19" s="2"/>
      <c r="G19" s="2"/>
      <c r="H19" s="21" t="s">
        <v>131</v>
      </c>
      <c r="I19" s="21" t="s">
        <v>131</v>
      </c>
      <c r="J19" s="2" t="s">
        <v>229</v>
      </c>
      <c r="K19" s="2" t="s">
        <v>225</v>
      </c>
    </row>
    <row r="20" spans="2:11">
      <c r="B20" s="21">
        <f t="shared" si="0"/>
        <v>18</v>
      </c>
      <c r="C20" s="2" t="s">
        <v>173</v>
      </c>
      <c r="D20" s="2" t="s">
        <v>156</v>
      </c>
      <c r="E20" s="2" t="s">
        <v>543</v>
      </c>
      <c r="F20" s="2"/>
      <c r="G20" s="2"/>
      <c r="H20" s="21" t="s">
        <v>131</v>
      </c>
      <c r="I20" s="21" t="s">
        <v>131</v>
      </c>
      <c r="J20" s="2" t="s">
        <v>230</v>
      </c>
      <c r="K20" s="2" t="s">
        <v>225</v>
      </c>
    </row>
    <row r="21" spans="2:11">
      <c r="B21" s="21">
        <f t="shared" si="0"/>
        <v>19</v>
      </c>
      <c r="C21" s="2" t="s">
        <v>133</v>
      </c>
      <c r="D21" s="2" t="s">
        <v>152</v>
      </c>
      <c r="E21" s="2" t="s">
        <v>541</v>
      </c>
      <c r="F21" s="2"/>
      <c r="G21" s="2"/>
      <c r="H21" s="21" t="s">
        <v>366</v>
      </c>
      <c r="I21" s="21"/>
      <c r="J21" s="2" t="s">
        <v>367</v>
      </c>
      <c r="K21" s="2" t="s">
        <v>368</v>
      </c>
    </row>
    <row r="22" spans="2:11">
      <c r="B22" s="21">
        <f t="shared" si="0"/>
        <v>20</v>
      </c>
      <c r="C22" s="2" t="s">
        <v>161</v>
      </c>
      <c r="D22" s="2" t="s">
        <v>369</v>
      </c>
      <c r="E22" s="2" t="s">
        <v>544</v>
      </c>
      <c r="F22" s="2">
        <v>128</v>
      </c>
      <c r="G22" s="2"/>
      <c r="H22" s="21" t="s">
        <v>366</v>
      </c>
      <c r="I22" s="21"/>
      <c r="J22" s="2" t="s">
        <v>548</v>
      </c>
      <c r="K22" s="2" t="s">
        <v>368</v>
      </c>
    </row>
    <row r="23" spans="2:11">
      <c r="B23" s="21">
        <f t="shared" si="0"/>
        <v>21</v>
      </c>
      <c r="C23" s="2" t="s">
        <v>163</v>
      </c>
      <c r="D23" s="2" t="s">
        <v>370</v>
      </c>
      <c r="E23" s="2" t="s">
        <v>545</v>
      </c>
      <c r="F23" s="2">
        <v>48</v>
      </c>
      <c r="G23" s="2"/>
      <c r="H23" s="21" t="s">
        <v>371</v>
      </c>
      <c r="I23" s="21"/>
      <c r="J23" s="2" t="s">
        <v>549</v>
      </c>
      <c r="K23" s="2" t="s">
        <v>368</v>
      </c>
    </row>
    <row r="24" spans="2:11">
      <c r="B24" s="21">
        <f t="shared" si="0"/>
        <v>22</v>
      </c>
      <c r="C24" s="2" t="s">
        <v>164</v>
      </c>
      <c r="D24" s="2" t="s">
        <v>372</v>
      </c>
      <c r="E24" s="2" t="s">
        <v>544</v>
      </c>
      <c r="F24" s="2">
        <v>128</v>
      </c>
      <c r="G24" s="2"/>
      <c r="H24" s="21" t="s">
        <v>373</v>
      </c>
      <c r="I24" s="21"/>
      <c r="J24" s="2" t="s">
        <v>550</v>
      </c>
      <c r="K24" s="2" t="s">
        <v>368</v>
      </c>
    </row>
    <row r="25" spans="2:11">
      <c r="B25" s="21">
        <f t="shared" si="0"/>
        <v>23</v>
      </c>
      <c r="C25" s="2" t="s">
        <v>132</v>
      </c>
      <c r="D25" s="2" t="s">
        <v>174</v>
      </c>
      <c r="E25" s="2" t="s">
        <v>541</v>
      </c>
      <c r="F25" s="2"/>
      <c r="G25" s="2"/>
      <c r="H25" s="21" t="s">
        <v>373</v>
      </c>
      <c r="I25" s="21" t="s">
        <v>373</v>
      </c>
      <c r="J25" s="2" t="s">
        <v>374</v>
      </c>
      <c r="K25" s="2" t="s">
        <v>368</v>
      </c>
    </row>
    <row r="26" spans="2:11">
      <c r="B26" s="21">
        <f t="shared" si="0"/>
        <v>24</v>
      </c>
      <c r="C26" s="2" t="s">
        <v>375</v>
      </c>
      <c r="D26" s="2" t="s">
        <v>176</v>
      </c>
      <c r="E26" s="2" t="s">
        <v>544</v>
      </c>
      <c r="F26" s="2">
        <v>128</v>
      </c>
      <c r="G26" s="2"/>
      <c r="H26" s="21" t="s">
        <v>373</v>
      </c>
      <c r="I26" s="21" t="s">
        <v>373</v>
      </c>
      <c r="J26" s="2" t="s">
        <v>551</v>
      </c>
      <c r="K26" s="2" t="s">
        <v>368</v>
      </c>
    </row>
    <row r="27" spans="2:11">
      <c r="B27" s="21">
        <f t="shared" si="0"/>
        <v>25</v>
      </c>
      <c r="C27" s="2" t="s">
        <v>376</v>
      </c>
      <c r="D27" s="2" t="s">
        <v>178</v>
      </c>
      <c r="E27" s="2" t="s">
        <v>545</v>
      </c>
      <c r="F27" s="2">
        <v>48</v>
      </c>
      <c r="G27" s="2"/>
      <c r="H27" s="21" t="s">
        <v>373</v>
      </c>
      <c r="I27" s="21" t="s">
        <v>373</v>
      </c>
      <c r="J27" s="2" t="s">
        <v>552</v>
      </c>
      <c r="K27" s="2" t="s">
        <v>368</v>
      </c>
    </row>
    <row r="28" spans="2:11">
      <c r="B28" s="21">
        <f t="shared" si="0"/>
        <v>26</v>
      </c>
      <c r="C28" s="2" t="s">
        <v>173</v>
      </c>
      <c r="D28" s="2" t="s">
        <v>156</v>
      </c>
      <c r="E28" s="2" t="s">
        <v>544</v>
      </c>
      <c r="F28" s="2">
        <v>128</v>
      </c>
      <c r="G28" s="2"/>
      <c r="H28" s="21" t="s">
        <v>373</v>
      </c>
      <c r="I28" s="21" t="s">
        <v>373</v>
      </c>
      <c r="J28" s="2" t="s">
        <v>553</v>
      </c>
      <c r="K28" s="2" t="s">
        <v>368</v>
      </c>
    </row>
    <row r="29" spans="2:11">
      <c r="B29" s="21"/>
      <c r="C29" s="2"/>
      <c r="D29" s="2"/>
      <c r="E29" s="2"/>
      <c r="F29" s="2"/>
      <c r="G29" s="2"/>
      <c r="H29" s="21"/>
      <c r="I29" s="21"/>
      <c r="J29" s="2"/>
      <c r="K29" s="2"/>
    </row>
    <row r="30" spans="2:11">
      <c r="B30" s="21"/>
      <c r="C30" s="2"/>
      <c r="D30" s="2"/>
      <c r="E30" s="2"/>
      <c r="F30" s="2"/>
      <c r="G30" s="2"/>
      <c r="H30" s="21"/>
      <c r="I30" s="21"/>
      <c r="J30" s="2"/>
      <c r="K30" s="2"/>
    </row>
    <row r="31" spans="2:11">
      <c r="B31" s="21"/>
      <c r="C31" s="2"/>
      <c r="D31" s="2"/>
      <c r="E31" s="2"/>
      <c r="F31" s="2"/>
      <c r="G31" s="2"/>
      <c r="H31" s="21"/>
      <c r="I31" s="21"/>
      <c r="J31" s="2"/>
      <c r="K31" s="2"/>
    </row>
    <row r="32" spans="2:11">
      <c r="B32" s="21"/>
      <c r="C32" s="2"/>
      <c r="D32" s="2"/>
      <c r="E32" s="2"/>
      <c r="F32" s="2"/>
      <c r="G32" s="2"/>
      <c r="H32" s="21"/>
      <c r="I32" s="21"/>
      <c r="J32" s="2"/>
      <c r="K32" s="2"/>
    </row>
    <row r="33" spans="2:11">
      <c r="B33" s="21"/>
      <c r="C33" s="2"/>
      <c r="D33" s="2"/>
      <c r="E33" s="2"/>
      <c r="F33" s="2"/>
      <c r="G33" s="2"/>
      <c r="H33" s="21"/>
      <c r="I33" s="21"/>
      <c r="J33" s="2"/>
      <c r="K33" s="2"/>
    </row>
    <row r="34" spans="2:11">
      <c r="B34" s="21"/>
      <c r="C34" s="2"/>
      <c r="D34" s="2"/>
      <c r="E34" s="2"/>
      <c r="F34" s="2"/>
      <c r="G34" s="2"/>
      <c r="H34" s="21"/>
      <c r="I34" s="21"/>
      <c r="J34" s="2"/>
      <c r="K34" s="2"/>
    </row>
    <row r="35" spans="2:11">
      <c r="B35" s="21"/>
      <c r="C35" s="2"/>
      <c r="D35" s="2"/>
      <c r="E35" s="2"/>
      <c r="F35" s="2"/>
      <c r="G35" s="2"/>
      <c r="H35" s="21"/>
      <c r="I35" s="21"/>
      <c r="J35" s="2"/>
      <c r="K35" s="2"/>
    </row>
    <row r="36" spans="2:11">
      <c r="B36" s="21"/>
      <c r="C36" s="2"/>
      <c r="D36" s="2"/>
      <c r="E36" s="2"/>
      <c r="F36" s="2"/>
      <c r="G36" s="2"/>
      <c r="H36" s="21"/>
      <c r="I36" s="21"/>
      <c r="J36" s="2"/>
      <c r="K36" s="2"/>
    </row>
    <row r="37" spans="2:11">
      <c r="B37" s="21"/>
      <c r="C37" s="2"/>
      <c r="D37" s="2"/>
      <c r="E37" s="2"/>
      <c r="F37" s="2"/>
      <c r="G37" s="2"/>
      <c r="H37" s="21"/>
      <c r="I37" s="21"/>
      <c r="J37" s="2"/>
      <c r="K37" s="2"/>
    </row>
    <row r="38" spans="2:11">
      <c r="B38" s="21"/>
      <c r="C38" s="2"/>
      <c r="D38" s="2"/>
      <c r="E38" s="2"/>
      <c r="F38" s="2"/>
      <c r="G38" s="2"/>
      <c r="H38" s="21"/>
      <c r="I38" s="21"/>
      <c r="J38" s="2"/>
      <c r="K38" s="2"/>
    </row>
    <row r="39" spans="2:11">
      <c r="B39" s="21"/>
      <c r="C39" s="2"/>
      <c r="D39" s="2"/>
      <c r="E39" s="2"/>
      <c r="F39" s="2"/>
      <c r="G39" s="2"/>
      <c r="H39" s="21"/>
      <c r="I39" s="21"/>
      <c r="J39" s="2"/>
      <c r="K39" s="2"/>
    </row>
    <row r="40" spans="2:11">
      <c r="B40" s="21"/>
      <c r="C40" s="2"/>
      <c r="D40" s="2"/>
      <c r="E40" s="2"/>
      <c r="F40" s="2"/>
      <c r="G40" s="2"/>
      <c r="H40" s="21"/>
      <c r="I40" s="21"/>
      <c r="J40" s="2"/>
      <c r="K40" s="2"/>
    </row>
    <row r="41" spans="2:11">
      <c r="B41" s="21"/>
      <c r="C41" s="2"/>
      <c r="D41" s="2"/>
      <c r="E41" s="2"/>
      <c r="F41" s="2"/>
      <c r="G41" s="2"/>
      <c r="H41" s="21"/>
      <c r="I41" s="21"/>
      <c r="J41" s="2"/>
      <c r="K41" s="2"/>
    </row>
    <row r="42" spans="2:11">
      <c r="B42" s="21"/>
      <c r="C42" s="2"/>
      <c r="D42" s="2"/>
      <c r="E42" s="2"/>
      <c r="F42" s="2"/>
      <c r="G42" s="2"/>
      <c r="H42" s="21"/>
      <c r="I42" s="21"/>
      <c r="J42" s="2"/>
      <c r="K42" s="2"/>
    </row>
    <row r="43" spans="2:11">
      <c r="B43" s="21"/>
      <c r="C43" s="2"/>
      <c r="D43" s="2"/>
      <c r="E43" s="2"/>
      <c r="F43" s="2"/>
      <c r="G43" s="2"/>
      <c r="H43" s="21"/>
      <c r="I43" s="21"/>
      <c r="J43" s="2"/>
      <c r="K43" s="2"/>
    </row>
    <row r="44" spans="2:11">
      <c r="B44" s="21"/>
      <c r="C44" s="2"/>
      <c r="D44" s="2"/>
      <c r="E44" s="2"/>
      <c r="F44" s="2"/>
      <c r="G44" s="2"/>
      <c r="H44" s="21"/>
      <c r="I44" s="21"/>
      <c r="J44" s="2"/>
      <c r="K44" s="2"/>
    </row>
    <row r="45" spans="2:11">
      <c r="B45" s="21"/>
      <c r="C45" s="2"/>
      <c r="D45" s="2"/>
      <c r="E45" s="2"/>
      <c r="F45" s="2"/>
      <c r="G45" s="2"/>
      <c r="H45" s="21"/>
      <c r="I45" s="21"/>
      <c r="J45" s="2"/>
      <c r="K45" s="2"/>
    </row>
    <row r="46" spans="2:11">
      <c r="B46" s="21"/>
      <c r="C46" s="2"/>
      <c r="D46" s="2"/>
      <c r="E46" s="2"/>
      <c r="F46" s="2"/>
      <c r="G46" s="2"/>
      <c r="H46" s="21"/>
      <c r="I46" s="21"/>
      <c r="J46" s="2"/>
      <c r="K46" s="2"/>
    </row>
    <row r="47" spans="2:11">
      <c r="B47" s="21"/>
      <c r="C47" s="2"/>
      <c r="D47" s="2"/>
      <c r="E47" s="2"/>
      <c r="F47" s="2"/>
      <c r="G47" s="2"/>
      <c r="H47" s="21"/>
      <c r="I47" s="21"/>
      <c r="J47" s="2"/>
      <c r="K47" s="2"/>
    </row>
    <row r="48" spans="2:11">
      <c r="B48" s="21"/>
      <c r="C48" s="2"/>
      <c r="D48" s="2"/>
      <c r="E48" s="2"/>
      <c r="F48" s="2"/>
      <c r="G48" s="2"/>
      <c r="H48" s="21"/>
      <c r="I48" s="21"/>
      <c r="J48" s="2"/>
      <c r="K48" s="2"/>
    </row>
    <row r="49" spans="2:11">
      <c r="B49" s="21"/>
      <c r="C49" s="2"/>
      <c r="D49" s="2"/>
      <c r="E49" s="2"/>
      <c r="F49" s="2"/>
      <c r="G49" s="2"/>
      <c r="H49" s="21"/>
      <c r="I49" s="21"/>
      <c r="J49" s="2"/>
      <c r="K49" s="2"/>
    </row>
  </sheetData>
  <phoneticPr fontId="1"/>
  <dataValidations count="1">
    <dataValidation imeMode="halfAlpha" allowBlank="1" showInputMessage="1" showErrorMessage="1" sqref="D3:G49" xr:uid="{00000000-0002-0000-0500-000000000000}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2000000}">
          <x14:formula1>
            <xm:f>'#環境設定'!$E$12:$E$14</xm:f>
          </x14:formula1>
          <xm:sqref>K3:K49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テーブル仕様書_辞書"/>
  <dimension ref="A1:I21"/>
  <sheetViews>
    <sheetView zoomScaleNormal="100" workbookViewId="0">
      <pane ySplit="1" topLeftCell="A272" activePane="bottomLeft" state="frozen"/>
      <selection pane="bottomLeft"/>
    </sheetView>
  </sheetViews>
  <sheetFormatPr defaultRowHeight="13.5"/>
  <cols>
    <col min="1" max="1" width="20" customWidth="1"/>
    <col min="2" max="2" width="20.75" customWidth="1"/>
    <col min="3" max="3" width="16.625" bestFit="1" customWidth="1"/>
    <col min="7" max="7" width="12.375" bestFit="1" customWidth="1"/>
  </cols>
  <sheetData>
    <row r="1" spans="1:9">
      <c r="A1" s="3" t="s">
        <v>53</v>
      </c>
      <c r="B1" s="3" t="s">
        <v>54</v>
      </c>
      <c r="C1" s="3" t="s">
        <v>618</v>
      </c>
      <c r="D1" s="3" t="s">
        <v>55</v>
      </c>
      <c r="E1" s="3" t="s">
        <v>56</v>
      </c>
      <c r="F1" s="3" t="s">
        <v>57</v>
      </c>
      <c r="G1" s="3" t="s">
        <v>58</v>
      </c>
      <c r="H1" s="10" t="s">
        <v>127</v>
      </c>
      <c r="I1" s="10" t="s">
        <v>128</v>
      </c>
    </row>
    <row r="2" spans="1:9">
      <c r="A2" t="s">
        <v>132</v>
      </c>
      <c r="B2" t="s">
        <v>619</v>
      </c>
      <c r="C2" t="s">
        <v>131</v>
      </c>
      <c r="D2" t="s">
        <v>620</v>
      </c>
      <c r="G2" t="s">
        <v>621</v>
      </c>
    </row>
    <row r="3" spans="1:9">
      <c r="A3" t="s">
        <v>133</v>
      </c>
      <c r="B3" t="s">
        <v>622</v>
      </c>
      <c r="C3" t="s">
        <v>131</v>
      </c>
      <c r="D3" t="s">
        <v>620</v>
      </c>
      <c r="G3" t="s">
        <v>621</v>
      </c>
    </row>
    <row r="4" spans="1:9">
      <c r="A4" t="s">
        <v>348</v>
      </c>
      <c r="B4" t="s">
        <v>623</v>
      </c>
      <c r="C4" t="s">
        <v>131</v>
      </c>
      <c r="D4" t="s">
        <v>624</v>
      </c>
      <c r="E4">
        <v>16</v>
      </c>
      <c r="H4" t="s">
        <v>131</v>
      </c>
    </row>
    <row r="5" spans="1:9">
      <c r="A5" t="s">
        <v>355</v>
      </c>
      <c r="B5" t="s">
        <v>625</v>
      </c>
    </row>
    <row r="6" spans="1:9">
      <c r="A6" t="s">
        <v>353</v>
      </c>
      <c r="B6" t="s">
        <v>626</v>
      </c>
    </row>
    <row r="7" spans="1:9">
      <c r="A7" t="s">
        <v>360</v>
      </c>
      <c r="B7" t="s">
        <v>627</v>
      </c>
    </row>
    <row r="8" spans="1:9">
      <c r="A8" t="s">
        <v>356</v>
      </c>
      <c r="B8" t="s">
        <v>628</v>
      </c>
    </row>
    <row r="9" spans="1:9">
      <c r="A9" t="s">
        <v>362</v>
      </c>
      <c r="B9" t="s">
        <v>629</v>
      </c>
    </row>
    <row r="10" spans="1:9">
      <c r="A10" t="s">
        <v>351</v>
      </c>
      <c r="B10" t="s">
        <v>630</v>
      </c>
    </row>
    <row r="11" spans="1:9">
      <c r="A11" t="s">
        <v>350</v>
      </c>
      <c r="B11" t="s">
        <v>631</v>
      </c>
    </row>
    <row r="12" spans="1:9">
      <c r="A12" t="s">
        <v>361</v>
      </c>
      <c r="B12" t="s">
        <v>632</v>
      </c>
    </row>
    <row r="13" spans="1:9">
      <c r="A13" t="s">
        <v>354</v>
      </c>
      <c r="B13" t="s">
        <v>633</v>
      </c>
    </row>
    <row r="14" spans="1:9">
      <c r="A14" t="s">
        <v>358</v>
      </c>
      <c r="B14" t="s">
        <v>634</v>
      </c>
    </row>
    <row r="15" spans="1:9">
      <c r="A15" t="s">
        <v>359</v>
      </c>
      <c r="B15" t="s">
        <v>635</v>
      </c>
    </row>
    <row r="16" spans="1:9">
      <c r="A16" t="s">
        <v>636</v>
      </c>
      <c r="B16" t="s">
        <v>637</v>
      </c>
    </row>
    <row r="17" spans="1:2">
      <c r="A17" t="s">
        <v>349</v>
      </c>
      <c r="B17" t="s">
        <v>638</v>
      </c>
    </row>
    <row r="18" spans="1:2">
      <c r="A18" t="s">
        <v>357</v>
      </c>
      <c r="B18" t="s">
        <v>639</v>
      </c>
    </row>
    <row r="19" spans="1:2">
      <c r="A19" t="s">
        <v>640</v>
      </c>
      <c r="B19" t="s">
        <v>641</v>
      </c>
    </row>
    <row r="20" spans="1:2">
      <c r="A20" t="s">
        <v>352</v>
      </c>
      <c r="B20" t="s">
        <v>642</v>
      </c>
    </row>
    <row r="21" spans="1:2">
      <c r="A21" t="s">
        <v>643</v>
      </c>
      <c r="B21" t="s">
        <v>644</v>
      </c>
    </row>
  </sheetData>
  <dataConsolidate/>
  <phoneticPr fontId="1"/>
  <dataValidations count="1">
    <dataValidation type="list" allowBlank="1" showInputMessage="1" showErrorMessage="1" sqref="C2:C1048576" xr:uid="{BFC1A790-0F71-4346-A401-A841D52BE960}">
      <formula1>"○, Oracle, PostgreSQL, SQLServer"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テーブル仕様書_表紙"/>
  <dimension ref="A1:CR56"/>
  <sheetViews>
    <sheetView view="pageBreakPreview" zoomScale="115" zoomScaleNormal="100" zoomScaleSheetLayoutView="115" workbookViewId="0"/>
  </sheetViews>
  <sheetFormatPr defaultColWidth="1.625" defaultRowHeight="9.9499999999999993" customHeight="1"/>
  <cols>
    <col min="1" max="16384" width="1.625" style="29"/>
  </cols>
  <sheetData>
    <row r="1" spans="1:96" ht="12" customHeight="1">
      <c r="A1" s="37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40"/>
      <c r="BS1" s="40"/>
      <c r="BT1" s="40"/>
      <c r="BU1" s="40"/>
      <c r="BV1" s="40"/>
      <c r="BW1" s="40"/>
      <c r="BX1" s="40"/>
      <c r="BY1" s="40"/>
      <c r="BZ1" s="39"/>
      <c r="CA1" s="39"/>
      <c r="CB1" s="39"/>
      <c r="CC1" s="39"/>
      <c r="CD1" s="39"/>
      <c r="CE1" s="39"/>
      <c r="CF1" s="39"/>
      <c r="CG1" s="39"/>
      <c r="CH1" s="39"/>
      <c r="CI1" s="41"/>
    </row>
    <row r="2" spans="1:96" ht="12" customHeight="1">
      <c r="A2" s="42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CI2" s="44"/>
    </row>
    <row r="3" spans="1:96" ht="12" customHeight="1">
      <c r="A3" s="42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CI3" s="44"/>
    </row>
    <row r="4" spans="1:96" ht="9.9499999999999993" customHeight="1">
      <c r="A4" s="45"/>
      <c r="CI4" s="46"/>
    </row>
    <row r="5" spans="1:96" ht="9.9499999999999993" customHeight="1">
      <c r="A5" s="45"/>
      <c r="CI5" s="46"/>
    </row>
    <row r="6" spans="1:96" ht="9.9499999999999993" customHeight="1">
      <c r="A6" s="45"/>
      <c r="CI6" s="46"/>
    </row>
    <row r="7" spans="1:96" ht="9.9499999999999993" customHeight="1">
      <c r="A7" s="45"/>
      <c r="CI7" s="46"/>
    </row>
    <row r="8" spans="1:96" ht="9.9499999999999993" customHeight="1">
      <c r="A8" s="45"/>
      <c r="CI8" s="46"/>
    </row>
    <row r="9" spans="1:96" ht="9.9499999999999993" customHeight="1">
      <c r="A9" s="45"/>
      <c r="CI9" s="46"/>
    </row>
    <row r="10" spans="1:96" ht="9.9499999999999993" customHeight="1" thickBot="1">
      <c r="A10" s="45"/>
      <c r="CI10" s="46"/>
    </row>
    <row r="11" spans="1:96" ht="9.9499999999999993" customHeight="1" thickTop="1">
      <c r="A11" s="45"/>
      <c r="C11" s="47"/>
      <c r="U11" s="108" t="s">
        <v>529</v>
      </c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CI11" s="46"/>
    </row>
    <row r="12" spans="1:96" ht="9.9499999999999993" customHeight="1">
      <c r="A12" s="45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CI12" s="46"/>
    </row>
    <row r="13" spans="1:96" ht="9.9499999999999993" customHeight="1">
      <c r="A13" s="45"/>
      <c r="C13" s="47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CI13" s="46"/>
    </row>
    <row r="14" spans="1:96" ht="9.9499999999999993" customHeight="1">
      <c r="A14" s="45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CI14" s="46"/>
    </row>
    <row r="15" spans="1:96" ht="9.9499999999999993" customHeight="1">
      <c r="A15" s="45"/>
      <c r="C15" s="47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CI15" s="46"/>
    </row>
    <row r="16" spans="1:96" ht="9.9499999999999993" customHeight="1">
      <c r="A16" s="45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CI16" s="46"/>
      <c r="CR16" s="48"/>
    </row>
    <row r="17" spans="1:87" ht="9.9499999999999993" customHeight="1">
      <c r="A17" s="45"/>
      <c r="C17" s="47"/>
      <c r="H17" s="49"/>
      <c r="N17" s="49"/>
      <c r="S17" s="4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CI17" s="46"/>
    </row>
    <row r="18" spans="1:87" ht="9.9499999999999993" customHeight="1">
      <c r="A18" s="45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CI18" s="46"/>
    </row>
    <row r="19" spans="1:87" ht="9.9499999999999993" customHeight="1">
      <c r="A19" s="45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CI19" s="46"/>
    </row>
    <row r="20" spans="1:87" ht="9.9499999999999993" customHeight="1" thickBot="1">
      <c r="A20" s="45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CI20" s="46"/>
    </row>
    <row r="21" spans="1:87" ht="9.9499999999999993" customHeight="1" thickTop="1">
      <c r="A21" s="45"/>
      <c r="CI21" s="46"/>
    </row>
    <row r="22" spans="1:87" ht="9.9499999999999993" customHeight="1">
      <c r="A22" s="45"/>
      <c r="CI22" s="46"/>
    </row>
    <row r="23" spans="1:87" ht="9.9499999999999993" customHeight="1">
      <c r="A23" s="45"/>
      <c r="CI23" s="46"/>
    </row>
    <row r="24" spans="1:87" ht="9.9499999999999993" customHeight="1">
      <c r="A24" s="45"/>
      <c r="CI24" s="46"/>
    </row>
    <row r="25" spans="1:87" ht="9.9499999999999993" customHeight="1">
      <c r="A25" s="45"/>
      <c r="CI25" s="46"/>
    </row>
    <row r="26" spans="1:87" ht="9.9499999999999993" customHeight="1">
      <c r="A26" s="45"/>
      <c r="CI26" s="46"/>
    </row>
    <row r="27" spans="1:87" ht="9.9499999999999993" customHeight="1">
      <c r="A27" s="45"/>
      <c r="CI27" s="46"/>
    </row>
    <row r="28" spans="1:87" ht="9.9499999999999993" customHeight="1">
      <c r="A28" s="45"/>
      <c r="CI28" s="46"/>
    </row>
    <row r="29" spans="1:87" ht="9.9499999999999993" customHeight="1">
      <c r="A29" s="45"/>
      <c r="CI29" s="46"/>
    </row>
    <row r="30" spans="1:87" ht="9.9499999999999993" customHeight="1">
      <c r="A30" s="45"/>
      <c r="CI30" s="46"/>
    </row>
    <row r="31" spans="1:87" ht="9.9499999999999993" customHeight="1">
      <c r="A31" s="45"/>
      <c r="CI31" s="46"/>
    </row>
    <row r="32" spans="1:87" ht="9.9499999999999993" customHeight="1">
      <c r="A32" s="45"/>
      <c r="CI32" s="46"/>
    </row>
    <row r="33" spans="1:87" ht="9.9499999999999993" customHeight="1">
      <c r="A33" s="45"/>
      <c r="CI33" s="46"/>
    </row>
    <row r="34" spans="1:87" ht="9.9499999999999993" customHeight="1">
      <c r="A34" s="45"/>
      <c r="Z34" s="106" t="s">
        <v>521</v>
      </c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  <c r="AZ34" s="111"/>
      <c r="BA34" s="111"/>
      <c r="BB34" s="111"/>
      <c r="BC34" s="111"/>
      <c r="BD34" s="111"/>
      <c r="BE34" s="111"/>
      <c r="BF34" s="111"/>
      <c r="BG34" s="111"/>
      <c r="BH34" s="111"/>
      <c r="BI34" s="111"/>
      <c r="BJ34" s="111"/>
      <c r="BK34" s="111"/>
      <c r="BL34" s="111"/>
      <c r="CI34" s="46"/>
    </row>
    <row r="35" spans="1:87" ht="9.9499999999999993" customHeight="1">
      <c r="A35" s="45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  <c r="AZ35" s="111"/>
      <c r="BA35" s="111"/>
      <c r="BB35" s="111"/>
      <c r="BC35" s="111"/>
      <c r="BD35" s="111"/>
      <c r="BE35" s="111"/>
      <c r="BF35" s="111"/>
      <c r="BG35" s="111"/>
      <c r="BH35" s="111"/>
      <c r="BI35" s="111"/>
      <c r="BJ35" s="111"/>
      <c r="BK35" s="111"/>
      <c r="BL35" s="111"/>
      <c r="CI35" s="46"/>
    </row>
    <row r="36" spans="1:87" ht="9.9499999999999993" customHeight="1">
      <c r="A36" s="45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  <c r="AZ36" s="111"/>
      <c r="BA36" s="111"/>
      <c r="BB36" s="111"/>
      <c r="BC36" s="111"/>
      <c r="BD36" s="111"/>
      <c r="BE36" s="111"/>
      <c r="BF36" s="111"/>
      <c r="BG36" s="111"/>
      <c r="BH36" s="111"/>
      <c r="BI36" s="111"/>
      <c r="BJ36" s="111"/>
      <c r="BK36" s="111"/>
      <c r="BL36" s="111"/>
      <c r="CI36" s="46"/>
    </row>
    <row r="37" spans="1:87" ht="9.9499999999999993" customHeight="1">
      <c r="A37" s="45"/>
      <c r="Z37" s="106" t="s">
        <v>522</v>
      </c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7" t="s">
        <v>645</v>
      </c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CI37" s="46"/>
    </row>
    <row r="38" spans="1:87" ht="9.9499999999999993" customHeight="1">
      <c r="A38" s="45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CI38" s="46"/>
    </row>
    <row r="39" spans="1:87" ht="9.9499999999999993" customHeight="1">
      <c r="A39" s="45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CI39" s="46"/>
    </row>
    <row r="40" spans="1:87" ht="9.9499999999999993" customHeight="1">
      <c r="A40" s="45"/>
      <c r="Z40" s="106" t="s">
        <v>523</v>
      </c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CI40" s="46"/>
    </row>
    <row r="41" spans="1:87" ht="9.9499999999999993" customHeight="1">
      <c r="A41" s="45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CI41" s="46"/>
    </row>
    <row r="42" spans="1:87" ht="9.9499999999999993" customHeight="1">
      <c r="A42" s="45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  <c r="BL42" s="112"/>
      <c r="CI42" s="46"/>
    </row>
    <row r="43" spans="1:87" ht="9.9499999999999993" customHeight="1">
      <c r="A43" s="45"/>
      <c r="Z43" s="106" t="s">
        <v>524</v>
      </c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CI43" s="46"/>
    </row>
    <row r="44" spans="1:87" ht="9.9499999999999993" customHeight="1">
      <c r="A44" s="45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CI44" s="46"/>
    </row>
    <row r="45" spans="1:87" ht="9.9499999999999993" customHeight="1">
      <c r="A45" s="45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  <c r="CI45" s="46"/>
    </row>
    <row r="46" spans="1:87" ht="9.9499999999999993" customHeight="1">
      <c r="A46" s="45"/>
      <c r="CI46" s="46"/>
    </row>
    <row r="47" spans="1:87" ht="9.9499999999999993" customHeight="1">
      <c r="A47" s="45"/>
      <c r="CI47" s="46"/>
    </row>
    <row r="48" spans="1:87" ht="9.9499999999999993" customHeight="1">
      <c r="A48" s="45"/>
      <c r="CI48" s="46"/>
    </row>
    <row r="49" spans="1:87" ht="9.9499999999999993" customHeight="1">
      <c r="A49" s="45"/>
      <c r="CI49" s="46"/>
    </row>
    <row r="50" spans="1:87" ht="9.9499999999999993" customHeight="1">
      <c r="A50" s="45"/>
      <c r="CI50" s="46"/>
    </row>
    <row r="51" spans="1:87" ht="9.9499999999999993" customHeight="1">
      <c r="A51" s="45"/>
      <c r="CI51" s="46"/>
    </row>
    <row r="52" spans="1:87" ht="9.9499999999999993" customHeight="1">
      <c r="A52" s="45"/>
      <c r="CI52" s="46"/>
    </row>
    <row r="53" spans="1:87" ht="9.9499999999999993" customHeight="1">
      <c r="A53" s="45"/>
      <c r="CI53" s="46"/>
    </row>
    <row r="54" spans="1:87" ht="9.9499999999999993" customHeight="1">
      <c r="A54" s="45"/>
      <c r="CI54" s="46"/>
    </row>
    <row r="55" spans="1:87" ht="9.9499999999999993" customHeight="1">
      <c r="A55" s="45"/>
      <c r="CI55" s="46"/>
    </row>
    <row r="56" spans="1:87" ht="9.9499999999999993" customHeight="1">
      <c r="A56" s="50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2"/>
    </row>
  </sheetData>
  <mergeCells count="9">
    <mergeCell ref="Z43:AK45"/>
    <mergeCell ref="AL43:BL45"/>
    <mergeCell ref="U11:BO20"/>
    <mergeCell ref="Z34:AK36"/>
    <mergeCell ref="AL34:BL36"/>
    <mergeCell ref="Z37:AK39"/>
    <mergeCell ref="AL37:BL39"/>
    <mergeCell ref="Z40:AK42"/>
    <mergeCell ref="AL40:BL42"/>
  </mergeCells>
  <phoneticPr fontId="1"/>
  <dataValidations count="1">
    <dataValidation type="list" allowBlank="1" showInputMessage="1" showErrorMessage="1" sqref="C1:C269" xr:uid="{10086C98-CE3A-4A4A-8B88-F531F49E8DB5}">
      <formula1>"○, Oracle, PostgreSQL, SQLServer"</formula1>
    </dataValidation>
  </dataValidations>
  <pageMargins left="0.39370078740157483" right="0.39370078740157483" top="0.39370078740157483" bottom="0.19685039370078741" header="0" footer="0"/>
  <pageSetup paperSize="9" scale="98" orientation="landscape" r:id="rId1"/>
  <headerFooter alignWithMargins="0">
    <oddFooter>&amp;L&amp;"ＭＳ Ｐ明朝,標準"&amp;10Copyright(C) Wize CO., LTD. All right reserved.&amp;C&amp;"ＭＳ Ｐ明朝,標準"&amp;10&amp;P / &amp;N &amp;R&amp;"ＭＳ Ｐ明朝,標準"&amp;10&amp;D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テーブル仕様書_改訂履歴"/>
  <dimension ref="A1:CP21"/>
  <sheetViews>
    <sheetView view="pageBreakPreview" zoomScaleNormal="100" zoomScaleSheetLayoutView="100" workbookViewId="0">
      <selection activeCell="A2" sqref="A2:B2"/>
    </sheetView>
  </sheetViews>
  <sheetFormatPr defaultColWidth="1.625" defaultRowHeight="22.5" customHeight="1"/>
  <cols>
    <col min="1" max="16384" width="1.625" style="93"/>
  </cols>
  <sheetData>
    <row r="1" spans="1:94" s="92" customFormat="1" ht="17.25" customHeight="1">
      <c r="A1" s="132" t="s">
        <v>533</v>
      </c>
      <c r="B1" s="133"/>
      <c r="C1" s="132" t="s">
        <v>525</v>
      </c>
      <c r="D1" s="134"/>
      <c r="E1" s="134"/>
      <c r="F1" s="134"/>
      <c r="G1" s="134"/>
      <c r="H1" s="134"/>
      <c r="I1" s="133"/>
      <c r="J1" s="132" t="s">
        <v>531</v>
      </c>
      <c r="K1" s="134"/>
      <c r="L1" s="134"/>
      <c r="M1" s="134"/>
      <c r="N1" s="134"/>
      <c r="O1" s="134"/>
      <c r="P1" s="133"/>
      <c r="Q1" s="132" t="s">
        <v>526</v>
      </c>
      <c r="R1" s="134"/>
      <c r="S1" s="134"/>
      <c r="T1" s="134"/>
      <c r="U1" s="134"/>
      <c r="V1" s="134"/>
      <c r="W1" s="133"/>
      <c r="X1" s="135" t="s">
        <v>527</v>
      </c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7"/>
      <c r="AO1" s="135" t="s">
        <v>528</v>
      </c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  <c r="CK1" s="136"/>
      <c r="CL1" s="136"/>
      <c r="CM1" s="136"/>
      <c r="CN1" s="136"/>
      <c r="CO1" s="136"/>
      <c r="CP1" s="137"/>
    </row>
    <row r="2" spans="1:94" ht="22.5" customHeight="1">
      <c r="A2" s="125">
        <f t="shared" ref="A2:B21" si="0">ROW()-1</f>
        <v>1</v>
      </c>
      <c r="B2" s="125"/>
      <c r="C2" s="126"/>
      <c r="D2" s="127"/>
      <c r="E2" s="127"/>
      <c r="F2" s="127"/>
      <c r="G2" s="127"/>
      <c r="H2" s="127"/>
      <c r="I2" s="128"/>
      <c r="J2" s="129"/>
      <c r="K2" s="130"/>
      <c r="L2" s="130"/>
      <c r="M2" s="130"/>
      <c r="N2" s="130"/>
      <c r="O2" s="130"/>
      <c r="P2" s="131"/>
      <c r="Q2" s="129"/>
      <c r="R2" s="130"/>
      <c r="S2" s="130"/>
      <c r="T2" s="130"/>
      <c r="U2" s="130"/>
      <c r="V2" s="130"/>
      <c r="W2" s="131"/>
      <c r="X2" s="138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40"/>
      <c r="AO2" s="138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40"/>
    </row>
    <row r="3" spans="1:94" ht="22.5" customHeight="1">
      <c r="A3" s="116">
        <f t="shared" si="0"/>
        <v>2</v>
      </c>
      <c r="B3" s="117"/>
      <c r="C3" s="118"/>
      <c r="D3" s="119"/>
      <c r="E3" s="119"/>
      <c r="F3" s="119"/>
      <c r="G3" s="119"/>
      <c r="H3" s="119"/>
      <c r="I3" s="120"/>
      <c r="J3" s="121"/>
      <c r="K3" s="122"/>
      <c r="L3" s="122"/>
      <c r="M3" s="122"/>
      <c r="N3" s="122"/>
      <c r="O3" s="122"/>
      <c r="P3" s="123"/>
      <c r="Q3" s="121"/>
      <c r="R3" s="122"/>
      <c r="S3" s="122"/>
      <c r="T3" s="122"/>
      <c r="U3" s="122"/>
      <c r="V3" s="122"/>
      <c r="W3" s="123"/>
      <c r="X3" s="124"/>
      <c r="Y3" s="114"/>
      <c r="Z3" s="114"/>
      <c r="AA3" s="114"/>
      <c r="AB3" s="114"/>
      <c r="AC3" s="114"/>
      <c r="AD3" s="114"/>
      <c r="AE3" s="114"/>
      <c r="AF3" s="114"/>
      <c r="AG3" s="114"/>
      <c r="AH3" s="114"/>
      <c r="AI3" s="114"/>
      <c r="AJ3" s="114"/>
      <c r="AK3" s="114"/>
      <c r="AL3" s="114"/>
      <c r="AM3" s="114"/>
      <c r="AN3" s="115"/>
      <c r="AO3" s="113"/>
      <c r="AP3" s="114"/>
      <c r="AQ3" s="114"/>
      <c r="AR3" s="114"/>
      <c r="AS3" s="114"/>
      <c r="AT3" s="114"/>
      <c r="AU3" s="114"/>
      <c r="AV3" s="114"/>
      <c r="AW3" s="114"/>
      <c r="AX3" s="114"/>
      <c r="AY3" s="114"/>
      <c r="AZ3" s="114"/>
      <c r="BA3" s="114"/>
      <c r="BB3" s="114"/>
      <c r="BC3" s="114"/>
      <c r="BD3" s="114"/>
      <c r="BE3" s="114"/>
      <c r="BF3" s="114"/>
      <c r="BG3" s="114"/>
      <c r="BH3" s="114"/>
      <c r="BI3" s="114"/>
      <c r="BJ3" s="114"/>
      <c r="BK3" s="114"/>
      <c r="BL3" s="114"/>
      <c r="BM3" s="114"/>
      <c r="BN3" s="114"/>
      <c r="BO3" s="114"/>
      <c r="BP3" s="114"/>
      <c r="BQ3" s="114"/>
      <c r="BR3" s="114"/>
      <c r="BS3" s="114"/>
      <c r="BT3" s="114"/>
      <c r="BU3" s="114"/>
      <c r="BV3" s="114"/>
      <c r="BW3" s="114"/>
      <c r="BX3" s="114"/>
      <c r="BY3" s="114"/>
      <c r="BZ3" s="114"/>
      <c r="CA3" s="114"/>
      <c r="CB3" s="114"/>
      <c r="CC3" s="114"/>
      <c r="CD3" s="114"/>
      <c r="CE3" s="114"/>
      <c r="CF3" s="114"/>
      <c r="CG3" s="114"/>
      <c r="CH3" s="114"/>
      <c r="CI3" s="114"/>
      <c r="CJ3" s="114"/>
      <c r="CK3" s="114"/>
      <c r="CL3" s="114"/>
      <c r="CM3" s="114"/>
      <c r="CN3" s="114"/>
      <c r="CO3" s="114"/>
      <c r="CP3" s="115"/>
    </row>
    <row r="4" spans="1:94" ht="22.5" customHeight="1">
      <c r="A4" s="116">
        <f t="shared" si="0"/>
        <v>3</v>
      </c>
      <c r="B4" s="117"/>
      <c r="C4" s="147"/>
      <c r="D4" s="148"/>
      <c r="E4" s="148"/>
      <c r="F4" s="148"/>
      <c r="G4" s="148"/>
      <c r="H4" s="148"/>
      <c r="I4" s="149"/>
      <c r="J4" s="150"/>
      <c r="K4" s="151"/>
      <c r="L4" s="151"/>
      <c r="M4" s="151"/>
      <c r="N4" s="151"/>
      <c r="O4" s="151"/>
      <c r="P4" s="152"/>
      <c r="Q4" s="150"/>
      <c r="R4" s="151"/>
      <c r="S4" s="151"/>
      <c r="T4" s="151"/>
      <c r="U4" s="151"/>
      <c r="V4" s="151"/>
      <c r="W4" s="152"/>
      <c r="X4" s="12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5"/>
      <c r="AO4" s="124"/>
      <c r="AP4" s="114"/>
      <c r="AQ4" s="114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  <c r="BJ4" s="114"/>
      <c r="BK4" s="114"/>
      <c r="BL4" s="114"/>
      <c r="BM4" s="114"/>
      <c r="BN4" s="114"/>
      <c r="BO4" s="114"/>
      <c r="BP4" s="114"/>
      <c r="BQ4" s="114"/>
      <c r="BR4" s="114"/>
      <c r="BS4" s="114"/>
      <c r="BT4" s="114"/>
      <c r="BU4" s="114"/>
      <c r="BV4" s="114"/>
      <c r="BW4" s="114"/>
      <c r="BX4" s="114"/>
      <c r="BY4" s="114"/>
      <c r="BZ4" s="114"/>
      <c r="CA4" s="114"/>
      <c r="CB4" s="114"/>
      <c r="CC4" s="114"/>
      <c r="CD4" s="114"/>
      <c r="CE4" s="114"/>
      <c r="CF4" s="114"/>
      <c r="CG4" s="114"/>
      <c r="CH4" s="114"/>
      <c r="CI4" s="114"/>
      <c r="CJ4" s="114"/>
      <c r="CK4" s="114"/>
      <c r="CL4" s="114"/>
      <c r="CM4" s="114"/>
      <c r="CN4" s="114"/>
      <c r="CO4" s="114"/>
      <c r="CP4" s="115"/>
    </row>
    <row r="5" spans="1:94" ht="22.5" customHeight="1">
      <c r="A5" s="116">
        <f t="shared" si="0"/>
        <v>4</v>
      </c>
      <c r="B5" s="117"/>
      <c r="C5" s="141"/>
      <c r="D5" s="142"/>
      <c r="E5" s="142"/>
      <c r="F5" s="142"/>
      <c r="G5" s="142"/>
      <c r="H5" s="142"/>
      <c r="I5" s="143"/>
      <c r="J5" s="144"/>
      <c r="K5" s="145"/>
      <c r="L5" s="145"/>
      <c r="M5" s="145"/>
      <c r="N5" s="145"/>
      <c r="O5" s="145"/>
      <c r="P5" s="146"/>
      <c r="Q5" s="144"/>
      <c r="R5" s="145"/>
      <c r="S5" s="145"/>
      <c r="T5" s="145"/>
      <c r="U5" s="145"/>
      <c r="V5" s="145"/>
      <c r="W5" s="146"/>
      <c r="X5" s="124"/>
      <c r="Y5" s="11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4"/>
      <c r="AL5" s="114"/>
      <c r="AM5" s="114"/>
      <c r="AN5" s="115"/>
      <c r="AO5" s="12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  <c r="BJ5" s="114"/>
      <c r="BK5" s="114"/>
      <c r="BL5" s="114"/>
      <c r="BM5" s="114"/>
      <c r="BN5" s="114"/>
      <c r="BO5" s="114"/>
      <c r="BP5" s="114"/>
      <c r="BQ5" s="114"/>
      <c r="BR5" s="114"/>
      <c r="BS5" s="114"/>
      <c r="BT5" s="114"/>
      <c r="BU5" s="114"/>
      <c r="BV5" s="114"/>
      <c r="BW5" s="114"/>
      <c r="BX5" s="114"/>
      <c r="BY5" s="114"/>
      <c r="BZ5" s="114"/>
      <c r="CA5" s="114"/>
      <c r="CB5" s="114"/>
      <c r="CC5" s="114"/>
      <c r="CD5" s="114"/>
      <c r="CE5" s="114"/>
      <c r="CF5" s="114"/>
      <c r="CG5" s="114"/>
      <c r="CH5" s="114"/>
      <c r="CI5" s="114"/>
      <c r="CJ5" s="114"/>
      <c r="CK5" s="114"/>
      <c r="CL5" s="114"/>
      <c r="CM5" s="114"/>
      <c r="CN5" s="114"/>
      <c r="CO5" s="114"/>
      <c r="CP5" s="115"/>
    </row>
    <row r="6" spans="1:94" ht="22.5" customHeight="1">
      <c r="A6" s="116">
        <f t="shared" si="0"/>
        <v>5</v>
      </c>
      <c r="B6" s="117"/>
      <c r="C6" s="118"/>
      <c r="D6" s="119"/>
      <c r="E6" s="119"/>
      <c r="F6" s="119"/>
      <c r="G6" s="119"/>
      <c r="H6" s="119"/>
      <c r="I6" s="120"/>
      <c r="J6" s="121"/>
      <c r="K6" s="122"/>
      <c r="L6" s="122"/>
      <c r="M6" s="122"/>
      <c r="N6" s="122"/>
      <c r="O6" s="122"/>
      <c r="P6" s="123"/>
      <c r="Q6" s="121"/>
      <c r="R6" s="122"/>
      <c r="S6" s="122"/>
      <c r="T6" s="122"/>
      <c r="U6" s="122"/>
      <c r="V6" s="122"/>
      <c r="W6" s="123"/>
      <c r="X6" s="12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5"/>
      <c r="AO6" s="12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114"/>
      <c r="BD6" s="114"/>
      <c r="BE6" s="114"/>
      <c r="BF6" s="114"/>
      <c r="BG6" s="114"/>
      <c r="BH6" s="114"/>
      <c r="BI6" s="114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114"/>
      <c r="BW6" s="114"/>
      <c r="BX6" s="114"/>
      <c r="BY6" s="114"/>
      <c r="BZ6" s="114"/>
      <c r="CA6" s="114"/>
      <c r="CB6" s="114"/>
      <c r="CC6" s="114"/>
      <c r="CD6" s="114"/>
      <c r="CE6" s="114"/>
      <c r="CF6" s="114"/>
      <c r="CG6" s="114"/>
      <c r="CH6" s="114"/>
      <c r="CI6" s="114"/>
      <c r="CJ6" s="114"/>
      <c r="CK6" s="114"/>
      <c r="CL6" s="114"/>
      <c r="CM6" s="114"/>
      <c r="CN6" s="114"/>
      <c r="CO6" s="114"/>
      <c r="CP6" s="115"/>
    </row>
    <row r="7" spans="1:94" ht="22.5" customHeight="1">
      <c r="A7" s="116">
        <f t="shared" si="0"/>
        <v>6</v>
      </c>
      <c r="B7" s="117"/>
      <c r="C7" s="118"/>
      <c r="D7" s="119"/>
      <c r="E7" s="119"/>
      <c r="F7" s="119"/>
      <c r="G7" s="119"/>
      <c r="H7" s="119"/>
      <c r="I7" s="120"/>
      <c r="J7" s="121"/>
      <c r="K7" s="122"/>
      <c r="L7" s="122"/>
      <c r="M7" s="122"/>
      <c r="N7" s="122"/>
      <c r="O7" s="122"/>
      <c r="P7" s="123"/>
      <c r="Q7" s="121"/>
      <c r="R7" s="122"/>
      <c r="S7" s="122"/>
      <c r="T7" s="122"/>
      <c r="U7" s="122"/>
      <c r="V7" s="122"/>
      <c r="W7" s="123"/>
      <c r="X7" s="12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5"/>
      <c r="AO7" s="12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114"/>
      <c r="BH7" s="114"/>
      <c r="BI7" s="114"/>
      <c r="BJ7" s="114"/>
      <c r="BK7" s="114"/>
      <c r="BL7" s="114"/>
      <c r="BM7" s="114"/>
      <c r="BN7" s="114"/>
      <c r="BO7" s="114"/>
      <c r="BP7" s="114"/>
      <c r="BQ7" s="114"/>
      <c r="BR7" s="114"/>
      <c r="BS7" s="114"/>
      <c r="BT7" s="114"/>
      <c r="BU7" s="114"/>
      <c r="BV7" s="114"/>
      <c r="BW7" s="114"/>
      <c r="BX7" s="114"/>
      <c r="BY7" s="114"/>
      <c r="BZ7" s="114"/>
      <c r="CA7" s="114"/>
      <c r="CB7" s="114"/>
      <c r="CC7" s="114"/>
      <c r="CD7" s="114"/>
      <c r="CE7" s="114"/>
      <c r="CF7" s="114"/>
      <c r="CG7" s="114"/>
      <c r="CH7" s="114"/>
      <c r="CI7" s="114"/>
      <c r="CJ7" s="114"/>
      <c r="CK7" s="114"/>
      <c r="CL7" s="114"/>
      <c r="CM7" s="114"/>
      <c r="CN7" s="114"/>
      <c r="CO7" s="114"/>
      <c r="CP7" s="115"/>
    </row>
    <row r="8" spans="1:94" ht="22.5" customHeight="1">
      <c r="A8" s="116">
        <f t="shared" si="0"/>
        <v>7</v>
      </c>
      <c r="B8" s="117"/>
      <c r="C8" s="118"/>
      <c r="D8" s="119"/>
      <c r="E8" s="119"/>
      <c r="F8" s="119"/>
      <c r="G8" s="119"/>
      <c r="H8" s="119"/>
      <c r="I8" s="120"/>
      <c r="J8" s="121"/>
      <c r="K8" s="122"/>
      <c r="L8" s="122"/>
      <c r="M8" s="122"/>
      <c r="N8" s="122"/>
      <c r="O8" s="122"/>
      <c r="P8" s="123"/>
      <c r="Q8" s="121"/>
      <c r="R8" s="122"/>
      <c r="S8" s="122"/>
      <c r="T8" s="122"/>
      <c r="U8" s="122"/>
      <c r="V8" s="122"/>
      <c r="W8" s="123"/>
      <c r="X8" s="12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5"/>
      <c r="AO8" s="124"/>
      <c r="AP8" s="114"/>
      <c r="AQ8" s="114"/>
      <c r="AR8" s="114"/>
      <c r="AS8" s="114"/>
      <c r="AT8" s="114"/>
      <c r="AU8" s="114"/>
      <c r="AV8" s="114"/>
      <c r="AW8" s="114"/>
      <c r="AX8" s="114"/>
      <c r="AY8" s="114"/>
      <c r="AZ8" s="114"/>
      <c r="BA8" s="114"/>
      <c r="BB8" s="114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114"/>
      <c r="BY8" s="114"/>
      <c r="BZ8" s="114"/>
      <c r="CA8" s="114"/>
      <c r="CB8" s="114"/>
      <c r="CC8" s="114"/>
      <c r="CD8" s="114"/>
      <c r="CE8" s="114"/>
      <c r="CF8" s="114"/>
      <c r="CG8" s="114"/>
      <c r="CH8" s="114"/>
      <c r="CI8" s="114"/>
      <c r="CJ8" s="114"/>
      <c r="CK8" s="114"/>
      <c r="CL8" s="114"/>
      <c r="CM8" s="114"/>
      <c r="CN8" s="114"/>
      <c r="CO8" s="114"/>
      <c r="CP8" s="115"/>
    </row>
    <row r="9" spans="1:94" ht="22.5" customHeight="1">
      <c r="A9" s="116">
        <f t="shared" si="0"/>
        <v>8</v>
      </c>
      <c r="B9" s="117"/>
      <c r="C9" s="118"/>
      <c r="D9" s="119"/>
      <c r="E9" s="119"/>
      <c r="F9" s="119"/>
      <c r="G9" s="119"/>
      <c r="H9" s="119"/>
      <c r="I9" s="120"/>
      <c r="J9" s="121"/>
      <c r="K9" s="122"/>
      <c r="L9" s="122"/>
      <c r="M9" s="122"/>
      <c r="N9" s="122"/>
      <c r="O9" s="122"/>
      <c r="P9" s="123"/>
      <c r="Q9" s="121"/>
      <c r="R9" s="122"/>
      <c r="S9" s="122"/>
      <c r="T9" s="122"/>
      <c r="U9" s="122"/>
      <c r="V9" s="122"/>
      <c r="W9" s="123"/>
      <c r="X9" s="12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5"/>
      <c r="AO9" s="124"/>
      <c r="AP9" s="114"/>
      <c r="AQ9" s="114"/>
      <c r="AR9" s="114"/>
      <c r="AS9" s="114"/>
      <c r="AT9" s="114"/>
      <c r="AU9" s="114"/>
      <c r="AV9" s="114"/>
      <c r="AW9" s="114"/>
      <c r="AX9" s="114"/>
      <c r="AY9" s="114"/>
      <c r="AZ9" s="114"/>
      <c r="BA9" s="114"/>
      <c r="BB9" s="114"/>
      <c r="BC9" s="114"/>
      <c r="BD9" s="114"/>
      <c r="BE9" s="114"/>
      <c r="BF9" s="114"/>
      <c r="BG9" s="114"/>
      <c r="BH9" s="114"/>
      <c r="BI9" s="114"/>
      <c r="BJ9" s="114"/>
      <c r="BK9" s="114"/>
      <c r="BL9" s="114"/>
      <c r="BM9" s="114"/>
      <c r="BN9" s="114"/>
      <c r="BO9" s="114"/>
      <c r="BP9" s="114"/>
      <c r="BQ9" s="114"/>
      <c r="BR9" s="114"/>
      <c r="BS9" s="114"/>
      <c r="BT9" s="114"/>
      <c r="BU9" s="114"/>
      <c r="BV9" s="114"/>
      <c r="BW9" s="114"/>
      <c r="BX9" s="114"/>
      <c r="BY9" s="114"/>
      <c r="BZ9" s="114"/>
      <c r="CA9" s="114"/>
      <c r="CB9" s="114"/>
      <c r="CC9" s="114"/>
      <c r="CD9" s="114"/>
      <c r="CE9" s="114"/>
      <c r="CF9" s="114"/>
      <c r="CG9" s="114"/>
      <c r="CH9" s="114"/>
      <c r="CI9" s="114"/>
      <c r="CJ9" s="114"/>
      <c r="CK9" s="114"/>
      <c r="CL9" s="114"/>
      <c r="CM9" s="114"/>
      <c r="CN9" s="114"/>
      <c r="CO9" s="114"/>
      <c r="CP9" s="115"/>
    </row>
    <row r="10" spans="1:94" ht="22.5" customHeight="1">
      <c r="A10" s="116">
        <f t="shared" si="0"/>
        <v>9</v>
      </c>
      <c r="B10" s="117"/>
      <c r="C10" s="118"/>
      <c r="D10" s="119"/>
      <c r="E10" s="119"/>
      <c r="F10" s="119"/>
      <c r="G10" s="119"/>
      <c r="H10" s="119"/>
      <c r="I10" s="120"/>
      <c r="J10" s="121"/>
      <c r="K10" s="122"/>
      <c r="L10" s="122"/>
      <c r="M10" s="122"/>
      <c r="N10" s="122"/>
      <c r="O10" s="122"/>
      <c r="P10" s="123"/>
      <c r="Q10" s="121"/>
      <c r="R10" s="122"/>
      <c r="S10" s="122"/>
      <c r="T10" s="122"/>
      <c r="U10" s="122"/>
      <c r="V10" s="122"/>
      <c r="W10" s="123"/>
      <c r="X10" s="12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5"/>
      <c r="AO10" s="124"/>
      <c r="AP10" s="114"/>
      <c r="AQ10" s="114"/>
      <c r="AR10" s="114"/>
      <c r="AS10" s="114"/>
      <c r="AT10" s="114"/>
      <c r="AU10" s="114"/>
      <c r="AV10" s="114"/>
      <c r="AW10" s="114"/>
      <c r="AX10" s="114"/>
      <c r="AY10" s="114"/>
      <c r="AZ10" s="114"/>
      <c r="BA10" s="114"/>
      <c r="BB10" s="114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114"/>
      <c r="BY10" s="114"/>
      <c r="BZ10" s="114"/>
      <c r="CA10" s="114"/>
      <c r="CB10" s="114"/>
      <c r="CC10" s="114"/>
      <c r="CD10" s="114"/>
      <c r="CE10" s="114"/>
      <c r="CF10" s="114"/>
      <c r="CG10" s="114"/>
      <c r="CH10" s="114"/>
      <c r="CI10" s="114"/>
      <c r="CJ10" s="114"/>
      <c r="CK10" s="114"/>
      <c r="CL10" s="114"/>
      <c r="CM10" s="114"/>
      <c r="CN10" s="114"/>
      <c r="CO10" s="114"/>
      <c r="CP10" s="115"/>
    </row>
    <row r="11" spans="1:94" ht="22.5" customHeight="1">
      <c r="A11" s="116">
        <f t="shared" si="0"/>
        <v>10</v>
      </c>
      <c r="B11" s="117"/>
      <c r="C11" s="118"/>
      <c r="D11" s="119"/>
      <c r="E11" s="119"/>
      <c r="F11" s="119"/>
      <c r="G11" s="119"/>
      <c r="H11" s="119"/>
      <c r="I11" s="120"/>
      <c r="J11" s="121"/>
      <c r="K11" s="122"/>
      <c r="L11" s="122"/>
      <c r="M11" s="122"/>
      <c r="N11" s="122"/>
      <c r="O11" s="122"/>
      <c r="P11" s="123"/>
      <c r="Q11" s="121"/>
      <c r="R11" s="122"/>
      <c r="S11" s="122"/>
      <c r="T11" s="122"/>
      <c r="U11" s="122"/>
      <c r="V11" s="122"/>
      <c r="W11" s="123"/>
      <c r="X11" s="12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114"/>
      <c r="AK11" s="114"/>
      <c r="AL11" s="114"/>
      <c r="AM11" s="114"/>
      <c r="AN11" s="115"/>
      <c r="AO11" s="12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4"/>
      <c r="CC11" s="114"/>
      <c r="CD11" s="114"/>
      <c r="CE11" s="114"/>
      <c r="CF11" s="114"/>
      <c r="CG11" s="114"/>
      <c r="CH11" s="114"/>
      <c r="CI11" s="114"/>
      <c r="CJ11" s="114"/>
      <c r="CK11" s="114"/>
      <c r="CL11" s="114"/>
      <c r="CM11" s="114"/>
      <c r="CN11" s="114"/>
      <c r="CO11" s="114"/>
      <c r="CP11" s="115"/>
    </row>
    <row r="12" spans="1:94" ht="22.5" customHeight="1">
      <c r="A12" s="116">
        <f t="shared" si="0"/>
        <v>11</v>
      </c>
      <c r="B12" s="117"/>
      <c r="C12" s="118"/>
      <c r="D12" s="119"/>
      <c r="E12" s="119"/>
      <c r="F12" s="119"/>
      <c r="G12" s="119"/>
      <c r="H12" s="119"/>
      <c r="I12" s="120"/>
      <c r="J12" s="121"/>
      <c r="K12" s="122"/>
      <c r="L12" s="122"/>
      <c r="M12" s="122"/>
      <c r="N12" s="122"/>
      <c r="O12" s="122"/>
      <c r="P12" s="123"/>
      <c r="Q12" s="121"/>
      <c r="R12" s="122"/>
      <c r="S12" s="122"/>
      <c r="T12" s="122"/>
      <c r="U12" s="122"/>
      <c r="V12" s="122"/>
      <c r="W12" s="123"/>
      <c r="X12" s="12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5"/>
      <c r="AO12" s="12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5"/>
    </row>
    <row r="13" spans="1:94" ht="22.5" customHeight="1">
      <c r="A13" s="116">
        <f t="shared" si="0"/>
        <v>12</v>
      </c>
      <c r="B13" s="117"/>
      <c r="C13" s="118"/>
      <c r="D13" s="119"/>
      <c r="E13" s="119"/>
      <c r="F13" s="119"/>
      <c r="G13" s="119"/>
      <c r="H13" s="119"/>
      <c r="I13" s="120"/>
      <c r="J13" s="121"/>
      <c r="K13" s="122"/>
      <c r="L13" s="122"/>
      <c r="M13" s="122"/>
      <c r="N13" s="122"/>
      <c r="O13" s="122"/>
      <c r="P13" s="123"/>
      <c r="Q13" s="121"/>
      <c r="R13" s="122"/>
      <c r="S13" s="122"/>
      <c r="T13" s="122"/>
      <c r="U13" s="122"/>
      <c r="V13" s="122"/>
      <c r="W13" s="123"/>
      <c r="X13" s="12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  <c r="AK13" s="114"/>
      <c r="AL13" s="114"/>
      <c r="AM13" s="114"/>
      <c r="AN13" s="115"/>
      <c r="AO13" s="124"/>
      <c r="AP13" s="114"/>
      <c r="AQ13" s="114"/>
      <c r="AR13" s="114"/>
      <c r="AS13" s="114"/>
      <c r="AT13" s="114"/>
      <c r="AU13" s="114"/>
      <c r="AV13" s="114"/>
      <c r="AW13" s="114"/>
      <c r="AX13" s="114"/>
      <c r="AY13" s="114"/>
      <c r="AZ13" s="114"/>
      <c r="BA13" s="114"/>
      <c r="BB13" s="114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114"/>
      <c r="BY13" s="114"/>
      <c r="BZ13" s="114"/>
      <c r="CA13" s="114"/>
      <c r="CB13" s="114"/>
      <c r="CC13" s="114"/>
      <c r="CD13" s="114"/>
      <c r="CE13" s="114"/>
      <c r="CF13" s="114"/>
      <c r="CG13" s="114"/>
      <c r="CH13" s="114"/>
      <c r="CI13" s="114"/>
      <c r="CJ13" s="114"/>
      <c r="CK13" s="114"/>
      <c r="CL13" s="114"/>
      <c r="CM13" s="114"/>
      <c r="CN13" s="114"/>
      <c r="CO13" s="114"/>
      <c r="CP13" s="115"/>
    </row>
    <row r="14" spans="1:94" ht="22.5" customHeight="1">
      <c r="A14" s="116">
        <f t="shared" si="0"/>
        <v>13</v>
      </c>
      <c r="B14" s="117"/>
      <c r="C14" s="118"/>
      <c r="D14" s="119"/>
      <c r="E14" s="119"/>
      <c r="F14" s="119"/>
      <c r="G14" s="119"/>
      <c r="H14" s="119"/>
      <c r="I14" s="120"/>
      <c r="J14" s="121"/>
      <c r="K14" s="122"/>
      <c r="L14" s="122"/>
      <c r="M14" s="122"/>
      <c r="N14" s="122"/>
      <c r="O14" s="122"/>
      <c r="P14" s="123"/>
      <c r="Q14" s="121"/>
      <c r="R14" s="122"/>
      <c r="S14" s="122"/>
      <c r="T14" s="122"/>
      <c r="U14" s="122"/>
      <c r="V14" s="122"/>
      <c r="W14" s="123"/>
      <c r="X14" s="12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5"/>
      <c r="AO14" s="12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5"/>
    </row>
    <row r="15" spans="1:94" ht="22.5" customHeight="1">
      <c r="A15" s="116">
        <f t="shared" si="0"/>
        <v>14</v>
      </c>
      <c r="B15" s="117"/>
      <c r="C15" s="118"/>
      <c r="D15" s="119"/>
      <c r="E15" s="119"/>
      <c r="F15" s="119"/>
      <c r="G15" s="119"/>
      <c r="H15" s="119"/>
      <c r="I15" s="120"/>
      <c r="J15" s="121"/>
      <c r="K15" s="122"/>
      <c r="L15" s="122"/>
      <c r="M15" s="122"/>
      <c r="N15" s="122"/>
      <c r="O15" s="122"/>
      <c r="P15" s="123"/>
      <c r="Q15" s="121"/>
      <c r="R15" s="122"/>
      <c r="S15" s="122"/>
      <c r="T15" s="122"/>
      <c r="U15" s="122"/>
      <c r="V15" s="122"/>
      <c r="W15" s="123"/>
      <c r="X15" s="124"/>
      <c r="Y15" s="11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114"/>
      <c r="AL15" s="114"/>
      <c r="AM15" s="114"/>
      <c r="AN15" s="115"/>
      <c r="AO15" s="124"/>
      <c r="AP15" s="114"/>
      <c r="AQ15" s="114"/>
      <c r="AR15" s="114"/>
      <c r="AS15" s="114"/>
      <c r="AT15" s="114"/>
      <c r="AU15" s="114"/>
      <c r="AV15" s="114"/>
      <c r="AW15" s="114"/>
      <c r="AX15" s="114"/>
      <c r="AY15" s="114"/>
      <c r="AZ15" s="114"/>
      <c r="BA15" s="114"/>
      <c r="BB15" s="114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114"/>
      <c r="BY15" s="114"/>
      <c r="BZ15" s="114"/>
      <c r="CA15" s="114"/>
      <c r="CB15" s="114"/>
      <c r="CC15" s="114"/>
      <c r="CD15" s="114"/>
      <c r="CE15" s="114"/>
      <c r="CF15" s="114"/>
      <c r="CG15" s="114"/>
      <c r="CH15" s="114"/>
      <c r="CI15" s="114"/>
      <c r="CJ15" s="114"/>
      <c r="CK15" s="114"/>
      <c r="CL15" s="114"/>
      <c r="CM15" s="114"/>
      <c r="CN15" s="114"/>
      <c r="CO15" s="114"/>
      <c r="CP15" s="115"/>
    </row>
    <row r="16" spans="1:94" ht="22.5" customHeight="1">
      <c r="A16" s="116">
        <f t="shared" si="0"/>
        <v>15</v>
      </c>
      <c r="B16" s="117"/>
      <c r="C16" s="118"/>
      <c r="D16" s="119"/>
      <c r="E16" s="119"/>
      <c r="F16" s="119"/>
      <c r="G16" s="119"/>
      <c r="H16" s="119"/>
      <c r="I16" s="120"/>
      <c r="J16" s="121"/>
      <c r="K16" s="122"/>
      <c r="L16" s="122"/>
      <c r="M16" s="122"/>
      <c r="N16" s="122"/>
      <c r="O16" s="122"/>
      <c r="P16" s="123"/>
      <c r="Q16" s="121"/>
      <c r="R16" s="122"/>
      <c r="S16" s="122"/>
      <c r="T16" s="122"/>
      <c r="U16" s="122"/>
      <c r="V16" s="122"/>
      <c r="W16" s="123"/>
      <c r="X16" s="124"/>
      <c r="Y16" s="114"/>
      <c r="Z16" s="114"/>
      <c r="AA16" s="114"/>
      <c r="AB16" s="114"/>
      <c r="AC16" s="114"/>
      <c r="AD16" s="114"/>
      <c r="AE16" s="114"/>
      <c r="AF16" s="114"/>
      <c r="AG16" s="114"/>
      <c r="AH16" s="114"/>
      <c r="AI16" s="114"/>
      <c r="AJ16" s="114"/>
      <c r="AK16" s="114"/>
      <c r="AL16" s="114"/>
      <c r="AM16" s="114"/>
      <c r="AN16" s="115"/>
      <c r="AO16" s="124"/>
      <c r="AP16" s="114"/>
      <c r="AQ16" s="114"/>
      <c r="AR16" s="114"/>
      <c r="AS16" s="114"/>
      <c r="AT16" s="114"/>
      <c r="AU16" s="114"/>
      <c r="AV16" s="114"/>
      <c r="AW16" s="114"/>
      <c r="AX16" s="114"/>
      <c r="AY16" s="114"/>
      <c r="AZ16" s="114"/>
      <c r="BA16" s="114"/>
      <c r="BB16" s="114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114"/>
      <c r="BY16" s="114"/>
      <c r="BZ16" s="114"/>
      <c r="CA16" s="114"/>
      <c r="CB16" s="114"/>
      <c r="CC16" s="114"/>
      <c r="CD16" s="114"/>
      <c r="CE16" s="114"/>
      <c r="CF16" s="114"/>
      <c r="CG16" s="114"/>
      <c r="CH16" s="114"/>
      <c r="CI16" s="114"/>
      <c r="CJ16" s="114"/>
      <c r="CK16" s="114"/>
      <c r="CL16" s="114"/>
      <c r="CM16" s="114"/>
      <c r="CN16" s="114"/>
      <c r="CO16" s="114"/>
      <c r="CP16" s="115"/>
    </row>
    <row r="17" spans="1:94" ht="22.5" customHeight="1">
      <c r="A17" s="116">
        <f t="shared" si="0"/>
        <v>16</v>
      </c>
      <c r="B17" s="117"/>
      <c r="C17" s="118"/>
      <c r="D17" s="119"/>
      <c r="E17" s="119"/>
      <c r="F17" s="119"/>
      <c r="G17" s="119"/>
      <c r="H17" s="119"/>
      <c r="I17" s="120"/>
      <c r="J17" s="121"/>
      <c r="K17" s="122"/>
      <c r="L17" s="122"/>
      <c r="M17" s="122"/>
      <c r="N17" s="122"/>
      <c r="O17" s="122"/>
      <c r="P17" s="123"/>
      <c r="Q17" s="121"/>
      <c r="R17" s="122"/>
      <c r="S17" s="122"/>
      <c r="T17" s="122"/>
      <c r="U17" s="122"/>
      <c r="V17" s="122"/>
      <c r="W17" s="123"/>
      <c r="X17" s="12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4"/>
      <c r="AL17" s="114"/>
      <c r="AM17" s="114"/>
      <c r="AN17" s="115"/>
      <c r="AO17" s="12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  <c r="AZ17" s="114"/>
      <c r="BA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4"/>
      <c r="BU17" s="114"/>
      <c r="BV17" s="114"/>
      <c r="BW17" s="114"/>
      <c r="BX17" s="114"/>
      <c r="BY17" s="114"/>
      <c r="BZ17" s="114"/>
      <c r="CA17" s="114"/>
      <c r="CB17" s="114"/>
      <c r="CC17" s="114"/>
      <c r="CD17" s="114"/>
      <c r="CE17" s="114"/>
      <c r="CF17" s="114"/>
      <c r="CG17" s="114"/>
      <c r="CH17" s="114"/>
      <c r="CI17" s="114"/>
      <c r="CJ17" s="114"/>
      <c r="CK17" s="114"/>
      <c r="CL17" s="114"/>
      <c r="CM17" s="114"/>
      <c r="CN17" s="114"/>
      <c r="CO17" s="114"/>
      <c r="CP17" s="115"/>
    </row>
    <row r="18" spans="1:94" ht="22.5" customHeight="1">
      <c r="A18" s="116">
        <f t="shared" si="0"/>
        <v>17</v>
      </c>
      <c r="B18" s="117"/>
      <c r="C18" s="118"/>
      <c r="D18" s="119"/>
      <c r="E18" s="119"/>
      <c r="F18" s="119"/>
      <c r="G18" s="119"/>
      <c r="H18" s="119"/>
      <c r="I18" s="120"/>
      <c r="J18" s="121"/>
      <c r="K18" s="122"/>
      <c r="L18" s="122"/>
      <c r="M18" s="122"/>
      <c r="N18" s="122"/>
      <c r="O18" s="122"/>
      <c r="P18" s="123"/>
      <c r="Q18" s="121"/>
      <c r="R18" s="122"/>
      <c r="S18" s="122"/>
      <c r="T18" s="122"/>
      <c r="U18" s="122"/>
      <c r="V18" s="122"/>
      <c r="W18" s="123"/>
      <c r="X18" s="124"/>
      <c r="Y18" s="114"/>
      <c r="Z18" s="114"/>
      <c r="AA18" s="114"/>
      <c r="AB18" s="114"/>
      <c r="AC18" s="114"/>
      <c r="AD18" s="114"/>
      <c r="AE18" s="114"/>
      <c r="AF18" s="114"/>
      <c r="AG18" s="114"/>
      <c r="AH18" s="114"/>
      <c r="AI18" s="114"/>
      <c r="AJ18" s="114"/>
      <c r="AK18" s="114"/>
      <c r="AL18" s="114"/>
      <c r="AM18" s="114"/>
      <c r="AN18" s="115"/>
      <c r="AO18" s="124"/>
      <c r="AP18" s="114"/>
      <c r="AQ18" s="114"/>
      <c r="AR18" s="114"/>
      <c r="AS18" s="114"/>
      <c r="AT18" s="114"/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4"/>
      <c r="BU18" s="114"/>
      <c r="BV18" s="114"/>
      <c r="BW18" s="114"/>
      <c r="BX18" s="114"/>
      <c r="BY18" s="114"/>
      <c r="BZ18" s="114"/>
      <c r="CA18" s="114"/>
      <c r="CB18" s="114"/>
      <c r="CC18" s="114"/>
      <c r="CD18" s="114"/>
      <c r="CE18" s="114"/>
      <c r="CF18" s="114"/>
      <c r="CG18" s="114"/>
      <c r="CH18" s="114"/>
      <c r="CI18" s="114"/>
      <c r="CJ18" s="114"/>
      <c r="CK18" s="114"/>
      <c r="CL18" s="114"/>
      <c r="CM18" s="114"/>
      <c r="CN18" s="114"/>
      <c r="CO18" s="114"/>
      <c r="CP18" s="115"/>
    </row>
    <row r="19" spans="1:94" ht="22.5" customHeight="1">
      <c r="A19" s="116">
        <f t="shared" si="0"/>
        <v>18</v>
      </c>
      <c r="B19" s="117"/>
      <c r="C19" s="118"/>
      <c r="D19" s="119"/>
      <c r="E19" s="119"/>
      <c r="F19" s="119"/>
      <c r="G19" s="119"/>
      <c r="H19" s="119"/>
      <c r="I19" s="120"/>
      <c r="J19" s="121"/>
      <c r="K19" s="122"/>
      <c r="L19" s="122"/>
      <c r="M19" s="122"/>
      <c r="N19" s="122"/>
      <c r="O19" s="122"/>
      <c r="P19" s="123"/>
      <c r="Q19" s="121"/>
      <c r="R19" s="122"/>
      <c r="S19" s="122"/>
      <c r="T19" s="122"/>
      <c r="U19" s="122"/>
      <c r="V19" s="122"/>
      <c r="W19" s="123"/>
      <c r="X19" s="12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5"/>
      <c r="AO19" s="12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4"/>
      <c r="CP19" s="115"/>
    </row>
    <row r="20" spans="1:94" ht="22.5" customHeight="1">
      <c r="A20" s="116">
        <f t="shared" si="0"/>
        <v>19</v>
      </c>
      <c r="B20" s="117"/>
      <c r="C20" s="118"/>
      <c r="D20" s="119"/>
      <c r="E20" s="119"/>
      <c r="F20" s="119"/>
      <c r="G20" s="119"/>
      <c r="H20" s="119"/>
      <c r="I20" s="120"/>
      <c r="J20" s="121"/>
      <c r="K20" s="122"/>
      <c r="L20" s="122"/>
      <c r="M20" s="122"/>
      <c r="N20" s="122"/>
      <c r="O20" s="122"/>
      <c r="P20" s="123"/>
      <c r="Q20" s="121"/>
      <c r="R20" s="122"/>
      <c r="S20" s="122"/>
      <c r="T20" s="122"/>
      <c r="U20" s="122"/>
      <c r="V20" s="122"/>
      <c r="W20" s="123"/>
      <c r="X20" s="124"/>
      <c r="Y20" s="11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5"/>
      <c r="AO20" s="12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4"/>
      <c r="BU20" s="114"/>
      <c r="BV20" s="114"/>
      <c r="BW20" s="114"/>
      <c r="BX20" s="114"/>
      <c r="BY20" s="114"/>
      <c r="BZ20" s="114"/>
      <c r="CA20" s="114"/>
      <c r="CB20" s="114"/>
      <c r="CC20" s="114"/>
      <c r="CD20" s="114"/>
      <c r="CE20" s="114"/>
      <c r="CF20" s="114"/>
      <c r="CG20" s="114"/>
      <c r="CH20" s="114"/>
      <c r="CI20" s="114"/>
      <c r="CJ20" s="114"/>
      <c r="CK20" s="114"/>
      <c r="CL20" s="114"/>
      <c r="CM20" s="114"/>
      <c r="CN20" s="114"/>
      <c r="CO20" s="114"/>
      <c r="CP20" s="115"/>
    </row>
    <row r="21" spans="1:94" ht="22.5" customHeight="1">
      <c r="A21" s="153">
        <f t="shared" si="0"/>
        <v>20</v>
      </c>
      <c r="B21" s="154"/>
      <c r="C21" s="155"/>
      <c r="D21" s="156"/>
      <c r="E21" s="156"/>
      <c r="F21" s="156"/>
      <c r="G21" s="156"/>
      <c r="H21" s="156"/>
      <c r="I21" s="157"/>
      <c r="J21" s="158"/>
      <c r="K21" s="159"/>
      <c r="L21" s="159"/>
      <c r="M21" s="159"/>
      <c r="N21" s="159"/>
      <c r="O21" s="159"/>
      <c r="P21" s="160"/>
      <c r="Q21" s="158"/>
      <c r="R21" s="159"/>
      <c r="S21" s="159"/>
      <c r="T21" s="159"/>
      <c r="U21" s="159"/>
      <c r="V21" s="159"/>
      <c r="W21" s="160"/>
      <c r="X21" s="161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3"/>
      <c r="AO21" s="161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3"/>
    </row>
  </sheetData>
  <mergeCells count="126">
    <mergeCell ref="AO20:CP20"/>
    <mergeCell ref="A21:B21"/>
    <mergeCell ref="C21:I21"/>
    <mergeCell ref="J21:P21"/>
    <mergeCell ref="Q21:W21"/>
    <mergeCell ref="X21:AN21"/>
    <mergeCell ref="AO21:CP21"/>
    <mergeCell ref="A20:B20"/>
    <mergeCell ref="C20:I20"/>
    <mergeCell ref="J20:P20"/>
    <mergeCell ref="Q20:W20"/>
    <mergeCell ref="X20:AN20"/>
    <mergeCell ref="AO18:CP18"/>
    <mergeCell ref="A19:B19"/>
    <mergeCell ref="C19:I19"/>
    <mergeCell ref="J19:P19"/>
    <mergeCell ref="Q19:W19"/>
    <mergeCell ref="X19:AN19"/>
    <mergeCell ref="AO19:CP19"/>
    <mergeCell ref="A18:B18"/>
    <mergeCell ref="C18:I18"/>
    <mergeCell ref="J18:P18"/>
    <mergeCell ref="Q18:W18"/>
    <mergeCell ref="X18:AN18"/>
    <mergeCell ref="AO16:CP16"/>
    <mergeCell ref="A17:B17"/>
    <mergeCell ref="C17:I17"/>
    <mergeCell ref="J17:P17"/>
    <mergeCell ref="Q17:W17"/>
    <mergeCell ref="X17:AN17"/>
    <mergeCell ref="AO17:CP17"/>
    <mergeCell ref="A16:B16"/>
    <mergeCell ref="C16:I16"/>
    <mergeCell ref="J16:P16"/>
    <mergeCell ref="Q16:W16"/>
    <mergeCell ref="X16:AN16"/>
    <mergeCell ref="AO14:CP14"/>
    <mergeCell ref="A15:B15"/>
    <mergeCell ref="C15:I15"/>
    <mergeCell ref="J15:P15"/>
    <mergeCell ref="Q15:W15"/>
    <mergeCell ref="X15:AN15"/>
    <mergeCell ref="AO15:CP15"/>
    <mergeCell ref="A14:B14"/>
    <mergeCell ref="C14:I14"/>
    <mergeCell ref="J14:P14"/>
    <mergeCell ref="Q14:W14"/>
    <mergeCell ref="X14:AN14"/>
    <mergeCell ref="AO12:CP12"/>
    <mergeCell ref="A13:B13"/>
    <mergeCell ref="C13:I13"/>
    <mergeCell ref="J13:P13"/>
    <mergeCell ref="Q13:W13"/>
    <mergeCell ref="X13:AN13"/>
    <mergeCell ref="AO13:CP13"/>
    <mergeCell ref="A12:B12"/>
    <mergeCell ref="C12:I12"/>
    <mergeCell ref="J12:P12"/>
    <mergeCell ref="Q12:W12"/>
    <mergeCell ref="X12:AN12"/>
    <mergeCell ref="AO10:CP10"/>
    <mergeCell ref="A11:B11"/>
    <mergeCell ref="C11:I11"/>
    <mergeCell ref="J11:P11"/>
    <mergeCell ref="Q11:W11"/>
    <mergeCell ref="X11:AN11"/>
    <mergeCell ref="AO11:CP11"/>
    <mergeCell ref="A10:B10"/>
    <mergeCell ref="C10:I10"/>
    <mergeCell ref="J10:P10"/>
    <mergeCell ref="Q10:W10"/>
    <mergeCell ref="X10:AN10"/>
    <mergeCell ref="AO8:CP8"/>
    <mergeCell ref="A9:B9"/>
    <mergeCell ref="C9:I9"/>
    <mergeCell ref="J9:P9"/>
    <mergeCell ref="Q9:W9"/>
    <mergeCell ref="X9:AN9"/>
    <mergeCell ref="AO9:CP9"/>
    <mergeCell ref="A8:B8"/>
    <mergeCell ref="C8:I8"/>
    <mergeCell ref="J8:P8"/>
    <mergeCell ref="Q8:W8"/>
    <mergeCell ref="X8:AN8"/>
    <mergeCell ref="AO6:CP6"/>
    <mergeCell ref="A7:B7"/>
    <mergeCell ref="C7:I7"/>
    <mergeCell ref="J7:P7"/>
    <mergeCell ref="Q7:W7"/>
    <mergeCell ref="X7:AN7"/>
    <mergeCell ref="AO7:CP7"/>
    <mergeCell ref="A6:B6"/>
    <mergeCell ref="C6:I6"/>
    <mergeCell ref="J6:P6"/>
    <mergeCell ref="Q6:W6"/>
    <mergeCell ref="X6:AN6"/>
    <mergeCell ref="AO4:CP4"/>
    <mergeCell ref="A5:B5"/>
    <mergeCell ref="C5:I5"/>
    <mergeCell ref="J5:P5"/>
    <mergeCell ref="Q5:W5"/>
    <mergeCell ref="X5:AN5"/>
    <mergeCell ref="AO5:CP5"/>
    <mergeCell ref="A4:B4"/>
    <mergeCell ref="C4:I4"/>
    <mergeCell ref="J4:P4"/>
    <mergeCell ref="Q4:W4"/>
    <mergeCell ref="X4:AN4"/>
    <mergeCell ref="A1:B1"/>
    <mergeCell ref="C1:I1"/>
    <mergeCell ref="J1:P1"/>
    <mergeCell ref="Q1:W1"/>
    <mergeCell ref="X1:AN1"/>
    <mergeCell ref="AO1:CP1"/>
    <mergeCell ref="Q2:W2"/>
    <mergeCell ref="X2:AN2"/>
    <mergeCell ref="AO2:CP2"/>
    <mergeCell ref="AO3:CP3"/>
    <mergeCell ref="A3:B3"/>
    <mergeCell ref="C3:I3"/>
    <mergeCell ref="J3:P3"/>
    <mergeCell ref="Q3:W3"/>
    <mergeCell ref="X3:AN3"/>
    <mergeCell ref="A2:B2"/>
    <mergeCell ref="C2:I2"/>
    <mergeCell ref="J2:P2"/>
  </mergeCells>
  <phoneticPr fontId="1"/>
  <pageMargins left="0.39370078740157483" right="0.39370078740157483" top="0.39370078740157483" bottom="0.19685039370078741" header="0" footer="0"/>
  <pageSetup paperSize="9" scale="90" orientation="landscape" r:id="rId1"/>
  <headerFooter alignWithMargins="0">
    <oddFooter>&amp;L&amp;"ＭＳ Ｐ明朝,標準"&amp;10Copyright(C) Wize CO., LTD. All right reserved.&amp;C&amp;"ＭＳ Ｐ明朝,標準"&amp;10&amp;P / &amp;N &amp;R&amp;"ＭＳ Ｐ明朝,標準"&amp;10&amp;D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テーブル一覧シート"/>
  <dimension ref="B1:F3"/>
  <sheetViews>
    <sheetView tabSelected="1" view="pageBreakPreview" zoomScaleNormal="100" zoomScaleSheetLayoutView="100" workbookViewId="0">
      <pane ySplit="2" topLeftCell="A3" activePane="bottomLeft" state="frozen"/>
      <selection pane="bottomLeft" activeCell="C3" sqref="C3:E3"/>
    </sheetView>
  </sheetViews>
  <sheetFormatPr defaultRowHeight="13.5"/>
  <cols>
    <col min="1" max="1" width="1.625" customWidth="1"/>
    <col min="2" max="2" width="5.75" customWidth="1"/>
    <col min="3" max="3" width="42.125" customWidth="1"/>
    <col min="4" max="4" width="40.5" customWidth="1"/>
    <col min="5" max="5" width="60.375" customWidth="1"/>
    <col min="6" max="6" width="10.125" customWidth="1"/>
  </cols>
  <sheetData>
    <row r="1" spans="2:6" ht="91.5" customHeight="1">
      <c r="B1" s="1"/>
      <c r="C1" s="1"/>
      <c r="F1" s="1"/>
    </row>
    <row r="2" spans="2:6" ht="28.5" customHeight="1">
      <c r="B2" s="3" t="s">
        <v>4</v>
      </c>
      <c r="C2" s="3" t="s">
        <v>2</v>
      </c>
      <c r="D2" s="3" t="s">
        <v>5</v>
      </c>
      <c r="E2" s="3" t="s">
        <v>3</v>
      </c>
      <c r="F2" s="27" t="s">
        <v>365</v>
      </c>
    </row>
    <row r="3" spans="2:6">
      <c r="B3" s="86">
        <f>ROW()-2</f>
        <v>1</v>
      </c>
      <c r="C3" s="91"/>
      <c r="D3" s="91"/>
      <c r="E3" s="91"/>
      <c r="F3" s="86" t="s">
        <v>606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Button 53">
              <controlPr defaultSize="0" print="0" autoFill="0" autoPict="0" macro="[0]!tlConfig">
                <anchor>
                  <from>
                    <xdr:col>0</xdr:col>
                    <xdr:colOff>76200</xdr:colOff>
                    <xdr:row>0</xdr:row>
                    <xdr:rowOff>600075</xdr:rowOff>
                  </from>
                  <to>
                    <xdr:col>2</xdr:col>
                    <xdr:colOff>476250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" name="Button 54">
              <controlPr defaultSize="0" print="0" autoFill="0" autoPict="0" macro="[0]!tlGenerateSQL" altText="CREATE文出力">
                <anchor>
                  <from>
                    <xdr:col>2</xdr:col>
                    <xdr:colOff>1323975</xdr:colOff>
                    <xdr:row>0</xdr:row>
                    <xdr:rowOff>57150</xdr:rowOff>
                  </from>
                  <to>
                    <xdr:col>2</xdr:col>
                    <xdr:colOff>2533650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tlMakeDataSheet" altText="CREATE文出力">
                <anchor>
                  <from>
                    <xdr:col>2</xdr:col>
                    <xdr:colOff>2609850</xdr:colOff>
                    <xdr:row>0</xdr:row>
                    <xdr:rowOff>57150</xdr:rowOff>
                  </from>
                  <to>
                    <xdr:col>3</xdr:col>
                    <xdr:colOff>1200150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tlDBImport_TableList" altText="CREATE文出力">
                <anchor>
                  <from>
                    <xdr:col>3</xdr:col>
                    <xdr:colOff>1323975</xdr:colOff>
                    <xdr:row>0</xdr:row>
                    <xdr:rowOff>47625</xdr:rowOff>
                  </from>
                  <to>
                    <xdr:col>3</xdr:col>
                    <xdr:colOff>2905125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8" name="Button 57">
              <controlPr defaultSize="0" print="0" autoFill="0" autoPict="0" macro="[0]!tlDBImport_TableSpec" altText="CREATE文出力">
                <anchor>
                  <from>
                    <xdr:col>3</xdr:col>
                    <xdr:colOff>2990850</xdr:colOff>
                    <xdr:row>0</xdr:row>
                    <xdr:rowOff>38100</xdr:rowOff>
                  </from>
                  <to>
                    <xdr:col>4</xdr:col>
                    <xdr:colOff>1304925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9" name="Button 58">
              <controlPr defaultSize="0" print="0" autoFill="0" autoPict="0" macro="[0]!tlTableMigration" altText="CREATE文出力">
                <anchor>
                  <from>
                    <xdr:col>4</xdr:col>
                    <xdr:colOff>3276600</xdr:colOff>
                    <xdr:row>0</xdr:row>
                    <xdr:rowOff>28575</xdr:rowOff>
                  </from>
                  <to>
                    <xdr:col>6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0" name="Button 59">
              <controlPr defaultSize="0" print="0" autoFill="0" autoPict="0" macro="[0]!tlChangeSheet">
                <anchor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1123950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1" name="Button 60">
              <controlPr defaultSize="0" print="0" autoFill="0" autoPict="0" macro="[0]!tlAddTable">
                <anchor>
                  <from>
                    <xdr:col>2</xdr:col>
                    <xdr:colOff>695325</xdr:colOff>
                    <xdr:row>0</xdr:row>
                    <xdr:rowOff>609600</xdr:rowOff>
                  </from>
                  <to>
                    <xdr:col>2</xdr:col>
                    <xdr:colOff>1733550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2" name="Button 61">
              <controlPr defaultSize="0" print="0" autoFill="0" autoPict="0" macro="[0]!tlDeleteTable">
                <anchor>
                  <from>
                    <xdr:col>2</xdr:col>
                    <xdr:colOff>1790700</xdr:colOff>
                    <xdr:row>0</xdr:row>
                    <xdr:rowOff>609600</xdr:rowOff>
                  </from>
                  <to>
                    <xdr:col>2</xdr:col>
                    <xdr:colOff>2809875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3" name="Button 62">
              <controlPr defaultSize="0" print="0" autoFill="0" autoPict="0" macro="[0]!tlTablePosUp">
                <anchor>
                  <from>
                    <xdr:col>2</xdr:col>
                    <xdr:colOff>2971800</xdr:colOff>
                    <xdr:row>0</xdr:row>
                    <xdr:rowOff>609600</xdr:rowOff>
                  </from>
                  <to>
                    <xdr:col>3</xdr:col>
                    <xdr:colOff>1438275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4" name="Button 63">
              <controlPr defaultSize="0" print="0" autoFill="0" autoPict="0" macro="[0]!tlTablePosDown">
                <anchor>
                  <from>
                    <xdr:col>3</xdr:col>
                    <xdr:colOff>1533525</xdr:colOff>
                    <xdr:row>0</xdr:row>
                    <xdr:rowOff>609600</xdr:rowOff>
                  </from>
                  <to>
                    <xdr:col>3</xdr:col>
                    <xdr:colOff>3076575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5" name="Button 64">
              <controlPr defaultSize="0" print="0" autoFill="0" autoPict="0" macro="[0]!tlReloadTable">
                <anchor>
                  <from>
                    <xdr:col>4</xdr:col>
                    <xdr:colOff>238125</xdr:colOff>
                    <xdr:row>0</xdr:row>
                    <xdr:rowOff>600075</xdr:rowOff>
                  </from>
                  <to>
                    <xdr:col>4</xdr:col>
                    <xdr:colOff>1724025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6" name="Button 65">
              <controlPr defaultSize="0" print="0" autoFill="0" autoPict="0" macro="[0]!tlAllStrConvJ2E">
                <anchor>
                  <from>
                    <xdr:col>4</xdr:col>
                    <xdr:colOff>2019300</xdr:colOff>
                    <xdr:row>0</xdr:row>
                    <xdr:rowOff>609600</xdr:rowOff>
                  </from>
                  <to>
                    <xdr:col>4</xdr:col>
                    <xdr:colOff>3495675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7" name="Button 66">
              <controlPr defaultSize="0" print="0" autoFill="0" autoPict="0" macro="[0]!tlAllStrConvE2J">
                <anchor>
                  <from>
                    <xdr:col>4</xdr:col>
                    <xdr:colOff>3762375</xdr:colOff>
                    <xdr:row>0</xdr:row>
                    <xdr:rowOff>609600</xdr:rowOff>
                  </from>
                  <to>
                    <xdr:col>6</xdr:col>
                    <xdr:colOff>9525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8" name="Button 67">
              <controlPr defaultSize="0" print="0" autoFill="0" autoPict="0" macro="[0]!tlMakeTableSpecSheet">
                <anchor moveWithCells="1" sizeWithCells="1">
                  <from>
                    <xdr:col>4</xdr:col>
                    <xdr:colOff>1390650</xdr:colOff>
                    <xdr:row>0</xdr:row>
                    <xdr:rowOff>38100</xdr:rowOff>
                  </from>
                  <to>
                    <xdr:col>4</xdr:col>
                    <xdr:colOff>3067050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27</vt:i4>
      </vt:variant>
    </vt:vector>
  </HeadingPairs>
  <TitlesOfParts>
    <vt:vector size="38" baseType="lpstr">
      <vt:lpstr>#環境設定</vt:lpstr>
      <vt:lpstr>#CT_Oracle</vt:lpstr>
      <vt:lpstr>#CT_PostgreSQL</vt:lpstr>
      <vt:lpstr>#CT_SQLServer</vt:lpstr>
      <vt:lpstr>#CT_DrSum</vt:lpstr>
      <vt:lpstr>#Table</vt:lpstr>
      <vt:lpstr>#トリガー設定</vt:lpstr>
      <vt:lpstr>#DIC</vt:lpstr>
      <vt:lpstr>表紙</vt:lpstr>
      <vt:lpstr>改訂履歴</vt:lpstr>
      <vt:lpstr>テーブル一覧</vt:lpstr>
      <vt:lpstr>CREATE文のスキーマ名使用</vt:lpstr>
      <vt:lpstr>CREATE文の引用符使用</vt:lpstr>
      <vt:lpstr>DB種別0</vt:lpstr>
      <vt:lpstr>DB種別1</vt:lpstr>
      <vt:lpstr>DB種別2</vt:lpstr>
      <vt:lpstr>DB種別3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SQL文出力フォルダ</vt:lpstr>
      <vt:lpstr>シノニム</vt:lpstr>
      <vt:lpstr>スキーマ名</vt:lpstr>
      <vt:lpstr>データベース選択</vt:lpstr>
      <vt:lpstr>データ型一覧_DRSUM</vt:lpstr>
      <vt:lpstr>データ型一覧_ORACLE</vt:lpstr>
      <vt:lpstr>データ型一覧_PostgreSQL</vt:lpstr>
      <vt:lpstr>データ型一覧_SQLServer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引用符一覧</vt:lpstr>
      <vt:lpstr>開発中</vt:lpstr>
      <vt:lpstr>環境設定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2017-06-13T09:02:34Z</cp:lastPrinted>
  <dcterms:created xsi:type="dcterms:W3CDTF">2015-06-25T04:43:14Z</dcterms:created>
  <dcterms:modified xsi:type="dcterms:W3CDTF">2022-08-04T09:36:09Z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